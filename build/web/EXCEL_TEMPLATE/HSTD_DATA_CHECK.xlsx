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rung\Desktop\"/>
    </mc:Choice>
  </mc:AlternateContent>
  <bookViews>
    <workbookView xWindow="0" yWindow="0" windowWidth="20490" windowHeight="85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" l="1"/>
  <c r="F14" i="1"/>
  <c r="E1" i="1" l="1"/>
  <c r="A2" i="1" l="1"/>
</calcChain>
</file>

<file path=xl/sharedStrings.xml><?xml version="1.0" encoding="utf-8"?>
<sst xmlns="http://schemas.openxmlformats.org/spreadsheetml/2006/main" count="74" uniqueCount="69">
  <si>
    <t>STT</t>
  </si>
  <si>
    <t>Mã</t>
  </si>
  <si>
    <t>Mô tả</t>
  </si>
  <si>
    <t>Script</t>
  </si>
  <si>
    <t>Kết quả</t>
  </si>
  <si>
    <t>KT0001</t>
  </si>
  <si>
    <t>select max(trunc(ng_capnhat)) from intellect.hsda;</t>
  </si>
  <si>
    <t>select max(trunc(ng_capnhat)) from intellect.hsxk;</t>
  </si>
  <si>
    <t>select max(trunc(ng_capnhat)) from intellect.tsdb;</t>
  </si>
  <si>
    <t>select max(trunc(ng_capnhat)) from intellect.hsqh;</t>
  </si>
  <si>
    <t>KT0002</t>
  </si>
  <si>
    <t>KT0003</t>
  </si>
  <si>
    <t>KT0004</t>
  </si>
  <si>
    <t>Kiểm tra ngày cập nhật bảng hsda</t>
  </si>
  <si>
    <t>Kiểm tra ngày cập nhật bảng tsdb</t>
  </si>
  <si>
    <t>Kiểm tra ngày cập nhật bảng hsqh</t>
  </si>
  <si>
    <t>Kiểm tra ngày cập nhật bảng hsxk</t>
  </si>
  <si>
    <t>select distinct ng_capnhat from intellect.hskh_tmp;</t>
  </si>
  <si>
    <t>select distinct ng_capnhat from intellect.hskh_dn_tmp;</t>
  </si>
  <si>
    <t>SELECT COUNT(*) FROM intellect.hskh_tmp</t>
  </si>
  <si>
    <t>SELECT COUNT(*) FROM intellect.hskh_dn_tmp</t>
  </si>
  <si>
    <t>Số KH cá nhân</t>
  </si>
  <si>
    <t>Số KH Doanh nghiệp</t>
  </si>
  <si>
    <t>Ngày cập nhật</t>
  </si>
  <si>
    <t>KT0005</t>
  </si>
  <si>
    <t>KT0006</t>
  </si>
  <si>
    <t>KT0007</t>
  </si>
  <si>
    <t>KT0008</t>
  </si>
  <si>
    <t xml:space="preserve">select /*+ parallel(4) */count(*) from intellect.m_proj_info@report58 A where 
A.MPI_LOAN_TYPE = 'R' AND (A.REC_ST = 'A' OR (A.REC_ST = 'C' AND NVL(A.MPI_CLS_DT,'01-JAN-2000') &gt;= :v_ngaydau_thang )); --- </t>
  </si>
  <si>
    <t>Số khoản vay</t>
  </si>
  <si>
    <t>select * from t_insert where table_name = 'HSKU_11' AND TRUNC(FINISH_TIME) = :v_ngaybc and error_desc not like 'No error';</t>
  </si>
  <si>
    <t>select * from t_insert where table_name = 'HSKU_12' AND TRUNC(FINISH_TIME) = :v_ngaybc and error_desc not like 'No error';</t>
  </si>
  <si>
    <t>KT0009</t>
  </si>
  <si>
    <t>KT0010</t>
  </si>
  <si>
    <t>KT0011</t>
  </si>
  <si>
    <t>KT0012</t>
  </si>
  <si>
    <t>KT0013</t>
  </si>
  <si>
    <t>Kiểm tra số POS bị lỗi khi đồng bộ số liệu</t>
  </si>
  <si>
    <t>Kiểm tra số POS đồng bộ số liệu thành công</t>
  </si>
  <si>
    <t>select count(Distinct ku_mapgd) from hsku_11;</t>
  </si>
  <si>
    <t>select count(Distinct ku_mapgd) from hsku_12;</t>
  </si>
  <si>
    <t>KT0014</t>
  </si>
  <si>
    <t>KT0015</t>
  </si>
  <si>
    <t>Kiểm tra số POS (689)</t>
  </si>
  <si>
    <t>Kiểm tra bảng HSTO</t>
  </si>
  <si>
    <t>KT0016</t>
  </si>
  <si>
    <t>SELECT TDC_DATE FROM TB_DATE_CONTROL WHERE TDC_CODE = 'CREDIT'</t>
  </si>
  <si>
    <t>SELECT RR_VALUE FROM TB_VARIABLE_MB WHERE RR_KEY = 'LAST_ACCURED_DT'</t>
  </si>
  <si>
    <t xml:space="preserve">Ngày đã tạo HSBT </t>
  </si>
  <si>
    <t>Ngày đã tạo lãi dự thu</t>
  </si>
  <si>
    <t>KT0017</t>
  </si>
  <si>
    <t>KT0018</t>
  </si>
  <si>
    <t>Cán bộ thực hiện:</t>
  </si>
  <si>
    <t xml:space="preserve">KIỂM TRA DỮ LIỆU TRƯỚC KHI TẠO HSTD </t>
  </si>
  <si>
    <t>KT0019</t>
  </si>
  <si>
    <t>Kiểm tra HSBT có bị duplicate</t>
  </si>
  <si>
    <t>KT0020</t>
  </si>
  <si>
    <t>Kiểm tra PLKT_TMP</t>
  </si>
  <si>
    <t>SELECT COUNT(DISTINCT CS_MAPGD) FROM CASA_TMP</t>
  </si>
  <si>
    <t>KT0021</t>
  </si>
  <si>
    <t>Kiểm tra bảng CASA_TMP</t>
  </si>
  <si>
    <t>select
(select count(*) from intellect.gm001mb@report58) 
- 
(select count(*) from intellect.hsto_tmp) btw_temp59
from dual</t>
  </si>
  <si>
    <t>SELECT COUNT(DISTINCT PL_MAPGD) FROM PLKT_TMP</t>
  </si>
  <si>
    <t>KT0022</t>
  </si>
  <si>
    <t>Thời gian: Thực hiện kiểm tra và gửi kết quả sau khi thực hiện xong bước [2.2], trước khi chạy bước [2.3]</t>
  </si>
  <si>
    <t>select count(*) from hsku_11;</t>
  </si>
  <si>
    <t>select count(*) from hsku_12 ;</t>
  </si>
  <si>
    <t>SELECT MAX(NGAYBC) FROM HSBT_MONTH;</t>
  </si>
  <si>
    <t>SELECT SBT,TK,NOCO,MOD_CD,TXN_CD,SUBTXN_CD,SOTIEN,NGAYGD,NGAYBC,GHICHU_1,COUNT(*) FROM HSBT_MONTH WHERE MAPGD = '000401' AND NGAYBC &gt;= :v_first_dt_of_month
AND MOD_CD &lt;&gt; 'FP' AND TXN_CD &lt;&gt; 1 AND SUBTXN_CD &lt;&gt; 1 --and sbt like '6%'
GROUP BY SBT,TK,NOCO,MOD_CD,TXN_CD,SUBTXN_CD,SOTIEN,NGAYGD,NGAYBC,GHICHU_1
HAVING COUNT(*) &gt; 1 order by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</si>
</sst>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/>
    <xf numFmtId="0" fontId="2" fillId="0" borderId="1" xfId="0" applyFont="1" applyBorder="1"/>
    <xf numFmtId="0" fontId="2" fillId="0" borderId="1" xfId="0" quotePrefix="1" applyFont="1" applyBorder="1"/>
    <xf numFmtId="0" fontId="2" fillId="0" borderId="1" xfId="0" quotePrefix="1" applyFont="1" applyBorder="1" applyAlignment="1">
      <alignment wrapText="1"/>
    </xf>
    <xf numFmtId="0" fontId="2" fillId="0" borderId="1" xfId="0" quotePrefix="1" applyFont="1" applyFill="1" applyBorder="1"/>
    <xf numFmtId="0" fontId="2" fillId="0" borderId="1" xfId="0" quotePrefix="1" applyFont="1" applyFill="1" applyBorder="1" applyAlignment="1">
      <alignment wrapText="1"/>
    </xf>
    <xf numFmtId="14" fontId="2" fillId="0" borderId="0" xfId="0" applyNumberFormat="1" applyFont="1"/>
    <xf numFmtId="14" fontId="2" fillId="0" borderId="1" xfId="0" applyNumberFormat="1" applyFont="1" applyBorder="1"/>
    <xf numFmtId="0" fontId="3" fillId="0" borderId="0" xfId="0" applyFont="1"/>
    <xf numFmtId="15" fontId="2" fillId="0" borderId="1" xfId="0" applyNumberFormat="1" applyFont="1" applyBorder="1"/>
    <xf numFmtId="0" fontId="0" fillId="2" borderId="0" xfId="0" applyFill="1"/>
    <xf numFmtId="0" fontId="2" fillId="0" borderId="1" xfId="0" applyFont="1" applyBorder="1" applyAlignment="1">
      <alignment wrapText="1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topLeftCell="A7" workbookViewId="0">
      <selection activeCell="D14" sqref="D14"/>
    </sheetView>
  </sheetViews>
  <sheetFormatPr defaultRowHeight="15" x14ac:dyDescent="0.25"/>
  <cols>
    <col min="1" max="1" width="4" bestFit="1" customWidth="1"/>
    <col min="2" max="2" width="8.28515625" bestFit="1" customWidth="1"/>
    <col min="3" max="3" width="42.85546875" customWidth="1"/>
    <col min="4" max="4" width="95.7109375" customWidth="1"/>
    <col min="5" max="5" width="17.85546875" customWidth="1"/>
    <col min="6" max="6" width="14.140625" customWidth="1"/>
  </cols>
  <sheetData>
    <row r="1" spans="1:6" x14ac:dyDescent="0.25">
      <c r="A1" s="1" t="s">
        <v>53</v>
      </c>
      <c r="B1" s="2"/>
      <c r="C1" s="2"/>
      <c r="D1" s="2"/>
      <c r="E1" s="9">
        <f ca="1">TODAY()</f>
        <v>42287</v>
      </c>
    </row>
    <row r="2" spans="1:6" x14ac:dyDescent="0.25">
      <c r="A2" s="2" t="str">
        <f ca="1">"Ngày báo cáo: "&amp;TEXT(E1,"dd-mm-yyyy")</f>
        <v>Ngày báo cáo: 10-10-2015</v>
      </c>
      <c r="B2" s="2"/>
      <c r="C2" s="2"/>
      <c r="D2" s="2"/>
      <c r="E2" s="2"/>
    </row>
    <row r="3" spans="1:6" x14ac:dyDescent="0.25">
      <c r="A3" s="2" t="s">
        <v>52</v>
      </c>
      <c r="B3" s="2"/>
      <c r="C3" s="2"/>
      <c r="D3" s="2"/>
      <c r="E3" s="2"/>
    </row>
    <row r="4" spans="1:6" x14ac:dyDescent="0.25">
      <c r="A4" s="11" t="s">
        <v>64</v>
      </c>
      <c r="B4" s="2"/>
      <c r="C4" s="2"/>
      <c r="D4" s="2"/>
      <c r="E4" s="2"/>
    </row>
    <row r="5" spans="1:6" x14ac:dyDescent="0.25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</row>
    <row r="6" spans="1:6" x14ac:dyDescent="0.25">
      <c r="A6" s="4">
        <v>1</v>
      </c>
      <c r="B6" s="4" t="s">
        <v>5</v>
      </c>
      <c r="C6" s="5" t="s">
        <v>13</v>
      </c>
      <c r="D6" s="4" t="s">
        <v>6</v>
      </c>
      <c r="E6" s="10">
        <v>42286</v>
      </c>
    </row>
    <row r="7" spans="1:6" x14ac:dyDescent="0.25">
      <c r="A7" s="4">
        <v>2</v>
      </c>
      <c r="B7" s="4" t="s">
        <v>10</v>
      </c>
      <c r="C7" s="5" t="s">
        <v>16</v>
      </c>
      <c r="D7" s="4" t="s">
        <v>7</v>
      </c>
      <c r="E7" s="10">
        <v>42286</v>
      </c>
    </row>
    <row r="8" spans="1:6" x14ac:dyDescent="0.25">
      <c r="A8" s="4">
        <v>3</v>
      </c>
      <c r="B8" s="4" t="s">
        <v>11</v>
      </c>
      <c r="C8" s="5" t="s">
        <v>14</v>
      </c>
      <c r="D8" s="4" t="s">
        <v>8</v>
      </c>
      <c r="E8" s="10">
        <v>42286</v>
      </c>
    </row>
    <row r="9" spans="1:6" x14ac:dyDescent="0.25">
      <c r="A9" s="4">
        <v>4</v>
      </c>
      <c r="B9" s="4" t="s">
        <v>12</v>
      </c>
      <c r="C9" s="5" t="s">
        <v>15</v>
      </c>
      <c r="D9" s="4" t="s">
        <v>9</v>
      </c>
      <c r="E9" s="10">
        <v>42286</v>
      </c>
    </row>
    <row r="10" spans="1:6" x14ac:dyDescent="0.25">
      <c r="A10" s="4">
        <v>5</v>
      </c>
      <c r="B10" s="4" t="s">
        <v>24</v>
      </c>
      <c r="C10" s="5" t="s">
        <v>21</v>
      </c>
      <c r="D10" s="5" t="s">
        <v>19</v>
      </c>
      <c r="E10" s="4">
        <v>9002445</v>
      </c>
      <c r="F10">
        <v>8978227</v>
      </c>
    </row>
    <row r="11" spans="1:6" x14ac:dyDescent="0.25">
      <c r="A11" s="4">
        <v>6</v>
      </c>
      <c r="B11" s="4" t="s">
        <v>25</v>
      </c>
      <c r="C11" s="5" t="s">
        <v>22</v>
      </c>
      <c r="D11" s="5" t="s">
        <v>20</v>
      </c>
      <c r="E11" s="4">
        <v>50999</v>
      </c>
    </row>
    <row r="12" spans="1:6" x14ac:dyDescent="0.25">
      <c r="A12" s="4">
        <v>7</v>
      </c>
      <c r="B12" s="4" t="s">
        <v>26</v>
      </c>
      <c r="C12" s="5" t="s">
        <v>23</v>
      </c>
      <c r="D12" s="5" t="s">
        <v>17</v>
      </c>
      <c r="E12" s="10">
        <v>42286</v>
      </c>
    </row>
    <row r="13" spans="1:6" x14ac:dyDescent="0.25">
      <c r="A13" s="4">
        <v>8</v>
      </c>
      <c r="B13" s="4" t="s">
        <v>27</v>
      </c>
      <c r="C13" s="5" t="s">
        <v>23</v>
      </c>
      <c r="D13" s="5" t="s">
        <v>18</v>
      </c>
      <c r="E13" s="10">
        <v>42286</v>
      </c>
    </row>
    <row r="14" spans="1:6" x14ac:dyDescent="0.25">
      <c r="A14" s="4">
        <v>9</v>
      </c>
      <c r="B14" s="4" t="s">
        <v>32</v>
      </c>
      <c r="C14" s="5" t="s">
        <v>29</v>
      </c>
      <c r="D14" s="5" t="s">
        <v>65</v>
      </c>
      <c r="E14" s="15">
        <v>8989742</v>
      </c>
      <c r="F14" s="13">
        <f>E15-E14</f>
        <v>13578</v>
      </c>
    </row>
    <row r="15" spans="1:6" x14ac:dyDescent="0.25">
      <c r="A15" s="4">
        <v>10</v>
      </c>
      <c r="B15" s="4" t="s">
        <v>33</v>
      </c>
      <c r="C15" s="5" t="s">
        <v>29</v>
      </c>
      <c r="D15" s="5" t="s">
        <v>66</v>
      </c>
      <c r="E15" s="16">
        <v>9003320</v>
      </c>
      <c r="F15">
        <f>E16-E15</f>
        <v>-70</v>
      </c>
    </row>
    <row r="16" spans="1:6" ht="43.5" x14ac:dyDescent="0.25">
      <c r="A16" s="4">
        <v>11</v>
      </c>
      <c r="B16" s="4" t="s">
        <v>34</v>
      </c>
      <c r="C16" s="5" t="s">
        <v>29</v>
      </c>
      <c r="D16" s="6" t="s">
        <v>28</v>
      </c>
      <c r="E16">
        <v>9003250</v>
      </c>
      <c r="F16">
        <v>9003250</v>
      </c>
    </row>
    <row r="17" spans="1:5" ht="29.25" x14ac:dyDescent="0.25">
      <c r="A17" s="4">
        <v>12</v>
      </c>
      <c r="B17" s="4" t="s">
        <v>35</v>
      </c>
      <c r="C17" s="5" t="s">
        <v>38</v>
      </c>
      <c r="D17" s="6" t="s">
        <v>30</v>
      </c>
      <c r="E17" s="4">
        <v>0</v>
      </c>
    </row>
    <row r="18" spans="1:5" ht="29.25" x14ac:dyDescent="0.25">
      <c r="A18" s="4">
        <v>13</v>
      </c>
      <c r="B18" s="4" t="s">
        <v>36</v>
      </c>
      <c r="C18" s="5" t="s">
        <v>37</v>
      </c>
      <c r="D18" s="6" t="s">
        <v>31</v>
      </c>
      <c r="E18" s="4">
        <v>0</v>
      </c>
    </row>
    <row r="19" spans="1:5" x14ac:dyDescent="0.25">
      <c r="A19" s="4">
        <v>14</v>
      </c>
      <c r="B19" s="4" t="s">
        <v>41</v>
      </c>
      <c r="C19" s="5" t="s">
        <v>43</v>
      </c>
      <c r="D19" s="5" t="s">
        <v>39</v>
      </c>
      <c r="E19" s="4">
        <v>692</v>
      </c>
    </row>
    <row r="20" spans="1:5" x14ac:dyDescent="0.25">
      <c r="A20" s="4">
        <v>15</v>
      </c>
      <c r="B20" s="4" t="s">
        <v>42</v>
      </c>
      <c r="C20" s="5" t="s">
        <v>43</v>
      </c>
      <c r="D20" s="5" t="s">
        <v>40</v>
      </c>
      <c r="E20" s="4">
        <v>692</v>
      </c>
    </row>
    <row r="21" spans="1:5" ht="72" x14ac:dyDescent="0.25">
      <c r="A21" s="4">
        <v>16</v>
      </c>
      <c r="B21" s="4" t="s">
        <v>45</v>
      </c>
      <c r="C21" s="7" t="s">
        <v>44</v>
      </c>
      <c r="D21" s="6" t="s">
        <v>61</v>
      </c>
      <c r="E21" s="4">
        <v>0</v>
      </c>
    </row>
    <row r="22" spans="1:5" x14ac:dyDescent="0.25">
      <c r="A22" s="4">
        <v>17</v>
      </c>
      <c r="B22" s="4" t="s">
        <v>50</v>
      </c>
      <c r="C22" s="7" t="s">
        <v>48</v>
      </c>
      <c r="D22" s="8" t="s">
        <v>46</v>
      </c>
      <c r="E22" s="10">
        <v>42286</v>
      </c>
    </row>
    <row r="23" spans="1:5" x14ac:dyDescent="0.25">
      <c r="A23" s="4"/>
      <c r="B23" s="4" t="s">
        <v>51</v>
      </c>
      <c r="C23" s="7" t="s">
        <v>48</v>
      </c>
      <c r="D23" s="8" t="s">
        <v>67</v>
      </c>
      <c r="E23" s="10">
        <v>42286</v>
      </c>
    </row>
    <row r="24" spans="1:5" x14ac:dyDescent="0.25">
      <c r="A24" s="4">
        <v>18</v>
      </c>
      <c r="B24" s="5" t="s">
        <v>54</v>
      </c>
      <c r="C24" s="7" t="s">
        <v>49</v>
      </c>
      <c r="D24" s="8" t="s">
        <v>47</v>
      </c>
      <c r="E24" s="12">
        <v>42217</v>
      </c>
    </row>
    <row r="25" spans="1:5" ht="101.25" customHeight="1" x14ac:dyDescent="0.25">
      <c r="A25" s="5">
        <v>19</v>
      </c>
      <c r="B25" s="5" t="s">
        <v>56</v>
      </c>
      <c r="C25" s="5" t="s">
        <v>55</v>
      </c>
      <c r="D25" s="14" t="s">
        <v>68</v>
      </c>
      <c r="E25" s="5">
        <v>11</v>
      </c>
    </row>
    <row r="26" spans="1:5" x14ac:dyDescent="0.25">
      <c r="A26" s="5">
        <v>20</v>
      </c>
      <c r="B26" s="5" t="s">
        <v>59</v>
      </c>
      <c r="C26" s="5" t="s">
        <v>57</v>
      </c>
      <c r="D26" s="5" t="s">
        <v>62</v>
      </c>
      <c r="E26" s="5">
        <v>692</v>
      </c>
    </row>
    <row r="27" spans="1:5" x14ac:dyDescent="0.25">
      <c r="A27" s="5">
        <v>21</v>
      </c>
      <c r="B27" s="5" t="s">
        <v>63</v>
      </c>
      <c r="C27" s="5" t="s">
        <v>60</v>
      </c>
      <c r="D27" s="5" t="s">
        <v>58</v>
      </c>
      <c r="E27" s="5">
        <v>699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 Nguyen</dc:creator>
  <cp:lastModifiedBy>Trung Nguyen</cp:lastModifiedBy>
  <dcterms:created xsi:type="dcterms:W3CDTF">2015-05-12T01:32:01Z</dcterms:created>
  <dcterms:modified xsi:type="dcterms:W3CDTF">2015-10-10T13:24:33Z</dcterms:modified>
</cp:coreProperties>
</file>
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áo cáo 1\2026_KHNV 5 năm\file mẫu\"/>
    </mc:Choice>
  </mc:AlternateContent>
  <bookViews>
    <workbookView xWindow="-120" yWindow="-120" windowWidth="20736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4" i="1" l="1"/>
  <c r="S74" i="1" s="1"/>
  <c r="Q74" i="1"/>
  <c r="P74" i="1"/>
  <c r="M74" i="1"/>
  <c r="N74" i="1" s="1"/>
  <c r="J74" i="1"/>
  <c r="K74" i="1" s="1"/>
  <c r="G74" i="1"/>
  <c r="H74" i="1" s="1"/>
  <c r="R73" i="1"/>
  <c r="S73" i="1" s="1"/>
  <c r="P73" i="1"/>
  <c r="Q73" i="1" s="1"/>
  <c r="M73" i="1"/>
  <c r="N73" i="1" s="1"/>
  <c r="J73" i="1"/>
  <c r="K73" i="1" s="1"/>
  <c r="G73" i="1"/>
  <c r="H73" i="1" s="1"/>
  <c r="R72" i="1"/>
  <c r="S72" i="1" s="1"/>
  <c r="P72" i="1"/>
  <c r="Q72" i="1" s="1"/>
  <c r="M72" i="1"/>
  <c r="N72" i="1" s="1"/>
  <c r="J72" i="1"/>
  <c r="K72" i="1" s="1"/>
  <c r="G72" i="1"/>
  <c r="H72" i="1" s="1"/>
  <c r="S71" i="1"/>
  <c r="R71" i="1"/>
  <c r="P71" i="1"/>
  <c r="Q71" i="1" s="1"/>
  <c r="M71" i="1"/>
  <c r="N71" i="1" s="1"/>
  <c r="J71" i="1"/>
  <c r="K71" i="1" s="1"/>
  <c r="G71" i="1"/>
  <c r="H71" i="1" s="1"/>
  <c r="R70" i="1"/>
  <c r="S70" i="1" s="1"/>
  <c r="P70" i="1"/>
  <c r="Q70" i="1" s="1"/>
  <c r="N70" i="1"/>
  <c r="M70" i="1"/>
  <c r="J70" i="1"/>
  <c r="K70" i="1" s="1"/>
  <c r="G70" i="1"/>
  <c r="H70" i="1" s="1"/>
  <c r="R69" i="1"/>
  <c r="S69" i="1" s="1"/>
  <c r="P69" i="1"/>
  <c r="Q69" i="1" s="1"/>
  <c r="M69" i="1"/>
  <c r="N69" i="1" s="1"/>
  <c r="J69" i="1"/>
  <c r="K69" i="1" s="1"/>
  <c r="H69" i="1"/>
  <c r="G69" i="1"/>
  <c r="R68" i="1"/>
  <c r="S68" i="1" s="1"/>
  <c r="P68" i="1"/>
  <c r="Q68" i="1" s="1"/>
  <c r="M68" i="1"/>
  <c r="N68" i="1" s="1"/>
  <c r="J68" i="1"/>
  <c r="K68" i="1" s="1"/>
  <c r="G68" i="1"/>
  <c r="H68" i="1" s="1"/>
  <c r="R67" i="1"/>
  <c r="S67" i="1" s="1"/>
  <c r="Q67" i="1"/>
  <c r="P67" i="1"/>
  <c r="M67" i="1"/>
  <c r="N67" i="1" s="1"/>
  <c r="J67" i="1"/>
  <c r="K67" i="1" s="1"/>
  <c r="G67" i="1"/>
  <c r="H67" i="1" s="1"/>
  <c r="R66" i="1"/>
  <c r="S66" i="1" s="1"/>
  <c r="P66" i="1"/>
  <c r="Q66" i="1" s="1"/>
  <c r="M66" i="1"/>
  <c r="N66" i="1" s="1"/>
  <c r="K66" i="1"/>
  <c r="J66" i="1"/>
  <c r="G66" i="1"/>
  <c r="H66" i="1" s="1"/>
  <c r="R65" i="1"/>
  <c r="S65" i="1" s="1"/>
  <c r="P65" i="1"/>
  <c r="Q65" i="1" s="1"/>
  <c r="M65" i="1"/>
  <c r="N65" i="1" s="1"/>
  <c r="J65" i="1"/>
  <c r="K65" i="1" s="1"/>
  <c r="G65" i="1"/>
  <c r="H65" i="1" s="1"/>
  <c r="S64" i="1"/>
  <c r="R64" i="1"/>
  <c r="P64" i="1"/>
  <c r="Q64" i="1" s="1"/>
  <c r="M64" i="1"/>
  <c r="N64" i="1" s="1"/>
  <c r="J64" i="1"/>
  <c r="K64" i="1" s="1"/>
  <c r="G64" i="1"/>
  <c r="H64" i="1" s="1"/>
  <c r="S63" i="1"/>
  <c r="R63" i="1"/>
  <c r="P63" i="1"/>
  <c r="Q63" i="1" s="1"/>
  <c r="N63" i="1"/>
  <c r="M63" i="1"/>
  <c r="J63" i="1"/>
  <c r="K63" i="1" s="1"/>
  <c r="G63" i="1"/>
  <c r="H63" i="1" s="1"/>
  <c r="R62" i="1"/>
  <c r="S62" i="1" s="1"/>
  <c r="P62" i="1"/>
  <c r="Q62" i="1" s="1"/>
  <c r="M62" i="1"/>
  <c r="N62" i="1" s="1"/>
  <c r="J62" i="1"/>
  <c r="K62" i="1" s="1"/>
  <c r="H62" i="1"/>
  <c r="G62" i="1"/>
  <c r="R61" i="1"/>
  <c r="S61" i="1" s="1"/>
  <c r="P61" i="1"/>
  <c r="Q61" i="1" s="1"/>
  <c r="M61" i="1"/>
  <c r="N61" i="1" s="1"/>
  <c r="J61" i="1"/>
  <c r="K61" i="1" s="1"/>
  <c r="G61" i="1"/>
  <c r="H61" i="1" s="1"/>
  <c r="R60" i="1"/>
  <c r="S60" i="1" s="1"/>
  <c r="Q60" i="1"/>
  <c r="P60" i="1"/>
  <c r="M60" i="1"/>
  <c r="N60" i="1" s="1"/>
  <c r="J60" i="1"/>
  <c r="K60" i="1" s="1"/>
  <c r="G60" i="1"/>
  <c r="H60" i="1" s="1"/>
  <c r="R59" i="1"/>
  <c r="S59" i="1" s="1"/>
  <c r="Q59" i="1"/>
  <c r="P59" i="1"/>
  <c r="M59" i="1"/>
  <c r="N59" i="1" s="1"/>
  <c r="K59" i="1"/>
  <c r="J59" i="1"/>
  <c r="G59" i="1"/>
  <c r="H59" i="1" s="1"/>
  <c r="R58" i="1"/>
  <c r="S58" i="1" s="1"/>
  <c r="P58" i="1"/>
  <c r="Q58" i="1" s="1"/>
  <c r="M58" i="1"/>
  <c r="N58" i="1" s="1"/>
  <c r="J58" i="1"/>
  <c r="K58" i="1" s="1"/>
  <c r="G58" i="1"/>
  <c r="H58" i="1" s="1"/>
  <c r="S57" i="1"/>
  <c r="R57" i="1"/>
  <c r="P57" i="1"/>
  <c r="Q57" i="1" s="1"/>
  <c r="M57" i="1"/>
  <c r="N57" i="1" s="1"/>
  <c r="J57" i="1"/>
  <c r="K57" i="1" s="1"/>
  <c r="G57" i="1"/>
  <c r="H57" i="1" s="1"/>
  <c r="S56" i="1"/>
  <c r="R56" i="1"/>
  <c r="P56" i="1"/>
  <c r="Q56" i="1" s="1"/>
  <c r="N56" i="1"/>
  <c r="M56" i="1"/>
  <c r="J56" i="1"/>
  <c r="K56" i="1" s="1"/>
  <c r="G56" i="1"/>
  <c r="H56" i="1" s="1"/>
  <c r="R55" i="1"/>
  <c r="S55" i="1" s="1"/>
  <c r="P55" i="1"/>
  <c r="Q55" i="1" s="1"/>
  <c r="M55" i="1"/>
  <c r="N55" i="1" s="1"/>
  <c r="J55" i="1"/>
  <c r="K55" i="1" s="1"/>
  <c r="H55" i="1"/>
  <c r="G55" i="1"/>
  <c r="R54" i="1"/>
  <c r="S54" i="1" s="1"/>
  <c r="P54" i="1"/>
  <c r="Q54" i="1" s="1"/>
  <c r="M54" i="1"/>
  <c r="N54" i="1" s="1"/>
  <c r="J54" i="1"/>
  <c r="K54" i="1" s="1"/>
  <c r="G54" i="1"/>
  <c r="H54" i="1" s="1"/>
  <c r="R53" i="1"/>
  <c r="S53" i="1" s="1"/>
  <c r="Q53" i="1"/>
  <c r="P53" i="1"/>
  <c r="M53" i="1"/>
  <c r="N53" i="1" s="1"/>
  <c r="J53" i="1"/>
  <c r="K53" i="1" s="1"/>
  <c r="G53" i="1"/>
  <c r="H53" i="1" s="1"/>
  <c r="R52" i="1"/>
  <c r="S52" i="1" s="1"/>
  <c r="P52" i="1"/>
  <c r="Q52" i="1" s="1"/>
  <c r="M52" i="1"/>
  <c r="N52" i="1" s="1"/>
  <c r="K52" i="1"/>
  <c r="J52" i="1"/>
  <c r="G52" i="1"/>
  <c r="H52" i="1" s="1"/>
  <c r="R51" i="1"/>
  <c r="S51" i="1" s="1"/>
  <c r="P51" i="1"/>
  <c r="Q51" i="1" s="1"/>
  <c r="M51" i="1"/>
  <c r="N51" i="1" s="1"/>
  <c r="J51" i="1"/>
  <c r="K51" i="1" s="1"/>
  <c r="G51" i="1"/>
  <c r="H51" i="1" s="1"/>
  <c r="S50" i="1"/>
  <c r="R50" i="1"/>
  <c r="P50" i="1"/>
  <c r="Q50" i="1" s="1"/>
  <c r="M50" i="1"/>
  <c r="N50" i="1" s="1"/>
  <c r="J50" i="1"/>
  <c r="K50" i="1" s="1"/>
  <c r="G50" i="1"/>
  <c r="H50" i="1" s="1"/>
  <c r="S49" i="1"/>
  <c r="R49" i="1"/>
  <c r="P49" i="1"/>
  <c r="Q49" i="1" s="1"/>
  <c r="N49" i="1"/>
  <c r="M49" i="1"/>
  <c r="J49" i="1"/>
  <c r="K49" i="1" s="1"/>
  <c r="G49" i="1"/>
  <c r="H49" i="1" s="1"/>
  <c r="R48" i="1"/>
  <c r="S48" i="1" s="1"/>
  <c r="P48" i="1"/>
  <c r="Q48" i="1" s="1"/>
  <c r="M48" i="1"/>
  <c r="N48" i="1" s="1"/>
  <c r="J48" i="1"/>
  <c r="K48" i="1" s="1"/>
  <c r="H48" i="1"/>
  <c r="G48" i="1"/>
  <c r="R47" i="1"/>
  <c r="S47" i="1" s="1"/>
  <c r="P47" i="1"/>
  <c r="Q47" i="1" s="1"/>
  <c r="M47" i="1"/>
  <c r="N47" i="1" s="1"/>
  <c r="J47" i="1"/>
  <c r="K47" i="1" s="1"/>
  <c r="G47" i="1"/>
  <c r="H47" i="1" s="1"/>
  <c r="R46" i="1"/>
  <c r="S46" i="1" s="1"/>
  <c r="Q46" i="1"/>
  <c r="P46" i="1"/>
  <c r="M46" i="1"/>
  <c r="N46" i="1" s="1"/>
  <c r="J46" i="1"/>
  <c r="K46" i="1" s="1"/>
  <c r="G46" i="1"/>
  <c r="H46" i="1" s="1"/>
  <c r="R45" i="1"/>
  <c r="S45" i="1" s="1"/>
  <c r="P45" i="1"/>
  <c r="Q45" i="1" s="1"/>
  <c r="O45" i="1"/>
  <c r="M45" i="1"/>
  <c r="N45" i="1" s="1"/>
  <c r="L45" i="1"/>
  <c r="I45" i="1"/>
  <c r="F45" i="1"/>
  <c r="J45" i="1" s="1"/>
  <c r="K45" i="1" s="1"/>
  <c r="E45" i="1"/>
  <c r="D45" i="1"/>
  <c r="S44" i="1"/>
  <c r="R44" i="1"/>
  <c r="P44" i="1"/>
  <c r="Q44" i="1" s="1"/>
  <c r="N44" i="1"/>
  <c r="M44" i="1"/>
  <c r="J44" i="1"/>
  <c r="K44" i="1" s="1"/>
  <c r="H44" i="1"/>
  <c r="G44" i="1"/>
  <c r="R43" i="1"/>
  <c r="S43" i="1" s="1"/>
  <c r="P43" i="1"/>
  <c r="Q43" i="1" s="1"/>
  <c r="M43" i="1"/>
  <c r="N43" i="1" s="1"/>
  <c r="J43" i="1"/>
  <c r="K43" i="1" s="1"/>
  <c r="H43" i="1"/>
  <c r="G43" i="1"/>
  <c r="R42" i="1"/>
  <c r="S42" i="1" s="1"/>
  <c r="Q42" i="1"/>
  <c r="P42" i="1"/>
  <c r="M42" i="1"/>
  <c r="N42" i="1" s="1"/>
  <c r="J42" i="1"/>
  <c r="K42" i="1" s="1"/>
  <c r="H42" i="1"/>
  <c r="G42" i="1"/>
  <c r="R41" i="1"/>
  <c r="S41" i="1" s="1"/>
  <c r="Q41" i="1"/>
  <c r="P41" i="1"/>
  <c r="M41" i="1"/>
  <c r="N41" i="1" s="1"/>
  <c r="K41" i="1"/>
  <c r="J41" i="1"/>
  <c r="G41" i="1"/>
  <c r="H41" i="1" s="1"/>
  <c r="R40" i="1"/>
  <c r="S40" i="1" s="1"/>
  <c r="P40" i="1"/>
  <c r="Q40" i="1" s="1"/>
  <c r="M40" i="1"/>
  <c r="N40" i="1" s="1"/>
  <c r="K40" i="1"/>
  <c r="J40" i="1"/>
  <c r="G40" i="1"/>
  <c r="H40" i="1" s="1"/>
  <c r="S39" i="1"/>
  <c r="R39" i="1"/>
  <c r="P39" i="1"/>
  <c r="Q39" i="1" s="1"/>
  <c r="M39" i="1"/>
  <c r="N39" i="1" s="1"/>
  <c r="J39" i="1"/>
  <c r="K39" i="1" s="1"/>
  <c r="G39" i="1"/>
  <c r="H39" i="1" s="1"/>
  <c r="S38" i="1"/>
  <c r="R38" i="1"/>
  <c r="P38" i="1"/>
  <c r="Q38" i="1" s="1"/>
  <c r="N38" i="1"/>
  <c r="M38" i="1"/>
  <c r="J38" i="1"/>
  <c r="K38" i="1" s="1"/>
  <c r="G38" i="1"/>
  <c r="H38" i="1" s="1"/>
  <c r="R37" i="1"/>
  <c r="S37" i="1" s="1"/>
  <c r="P37" i="1"/>
  <c r="Q37" i="1" s="1"/>
  <c r="N37" i="1"/>
  <c r="M37" i="1"/>
  <c r="J37" i="1"/>
  <c r="K37" i="1" s="1"/>
  <c r="H37" i="1"/>
  <c r="G37" i="1"/>
  <c r="R36" i="1"/>
  <c r="S36" i="1" s="1"/>
  <c r="P36" i="1"/>
  <c r="Q36" i="1" s="1"/>
  <c r="N36" i="1"/>
  <c r="M36" i="1"/>
  <c r="J36" i="1"/>
  <c r="K36" i="1" s="1"/>
  <c r="H36" i="1"/>
  <c r="G36" i="1"/>
  <c r="R35" i="1"/>
  <c r="S35" i="1" s="1"/>
  <c r="Q35" i="1"/>
  <c r="P35" i="1"/>
  <c r="M35" i="1"/>
  <c r="N35" i="1" s="1"/>
  <c r="J35" i="1"/>
  <c r="K35" i="1" s="1"/>
  <c r="G35" i="1"/>
  <c r="H35" i="1" s="1"/>
  <c r="R34" i="1"/>
  <c r="S34" i="1" s="1"/>
  <c r="Q34" i="1"/>
  <c r="P34" i="1"/>
  <c r="M34" i="1"/>
  <c r="N34" i="1" s="1"/>
  <c r="K34" i="1"/>
  <c r="J34" i="1"/>
  <c r="G34" i="1"/>
  <c r="H34" i="1" s="1"/>
  <c r="R33" i="1"/>
  <c r="S33" i="1" s="1"/>
  <c r="Q33" i="1"/>
  <c r="P33" i="1"/>
  <c r="M33" i="1"/>
  <c r="N33" i="1" s="1"/>
  <c r="K33" i="1"/>
  <c r="J33" i="1"/>
  <c r="G33" i="1"/>
  <c r="H33" i="1" s="1"/>
  <c r="S32" i="1"/>
  <c r="R32" i="1"/>
  <c r="P32" i="1"/>
  <c r="Q32" i="1" s="1"/>
  <c r="M32" i="1"/>
  <c r="N32" i="1" s="1"/>
  <c r="J32" i="1"/>
  <c r="K32" i="1" s="1"/>
  <c r="G32" i="1"/>
  <c r="H32" i="1" s="1"/>
  <c r="S31" i="1"/>
  <c r="R31" i="1"/>
  <c r="P31" i="1"/>
  <c r="Q31" i="1" s="1"/>
  <c r="N31" i="1"/>
  <c r="M31" i="1"/>
  <c r="J31" i="1"/>
  <c r="K31" i="1" s="1"/>
  <c r="G31" i="1"/>
  <c r="H31" i="1" s="1"/>
  <c r="R30" i="1"/>
  <c r="S30" i="1" s="1"/>
  <c r="P30" i="1"/>
  <c r="Q30" i="1" s="1"/>
  <c r="N30" i="1"/>
  <c r="M30" i="1"/>
  <c r="J30" i="1"/>
  <c r="K30" i="1" s="1"/>
  <c r="H30" i="1"/>
  <c r="G30" i="1"/>
  <c r="R29" i="1"/>
  <c r="S29" i="1" s="1"/>
  <c r="P29" i="1"/>
  <c r="Q29" i="1" s="1"/>
  <c r="N29" i="1"/>
  <c r="M29" i="1"/>
  <c r="J29" i="1"/>
  <c r="K29" i="1" s="1"/>
  <c r="H29" i="1"/>
  <c r="G29" i="1"/>
  <c r="R28" i="1"/>
  <c r="S28" i="1" s="1"/>
  <c r="Q28" i="1"/>
  <c r="P28" i="1"/>
  <c r="M28" i="1"/>
  <c r="N28" i="1" s="1"/>
  <c r="K28" i="1"/>
  <c r="J28" i="1"/>
  <c r="G28" i="1"/>
  <c r="H28" i="1" s="1"/>
  <c r="R27" i="1"/>
  <c r="S27" i="1" s="1"/>
  <c r="Q27" i="1"/>
  <c r="P27" i="1"/>
  <c r="M27" i="1"/>
  <c r="N27" i="1" s="1"/>
  <c r="K27" i="1"/>
  <c r="J27" i="1"/>
  <c r="G27" i="1"/>
  <c r="H27" i="1" s="1"/>
  <c r="R26" i="1"/>
  <c r="S26" i="1" s="1"/>
  <c r="P26" i="1"/>
  <c r="Q26" i="1" s="1"/>
  <c r="M26" i="1"/>
  <c r="N26" i="1" s="1"/>
  <c r="K26" i="1"/>
  <c r="J26" i="1"/>
  <c r="G26" i="1"/>
  <c r="H26" i="1" s="1"/>
  <c r="S25" i="1"/>
  <c r="R25" i="1"/>
  <c r="P25" i="1"/>
  <c r="Q25" i="1" s="1"/>
  <c r="M25" i="1"/>
  <c r="N25" i="1" s="1"/>
  <c r="J25" i="1"/>
  <c r="K25" i="1" s="1"/>
  <c r="G25" i="1"/>
  <c r="H25" i="1" s="1"/>
  <c r="S24" i="1"/>
  <c r="R24" i="1"/>
  <c r="P24" i="1"/>
  <c r="Q24" i="1" s="1"/>
  <c r="N24" i="1"/>
  <c r="M24" i="1"/>
  <c r="J24" i="1"/>
  <c r="K24" i="1" s="1"/>
  <c r="H24" i="1"/>
  <c r="G24" i="1"/>
  <c r="S23" i="1"/>
  <c r="R23" i="1"/>
  <c r="P23" i="1"/>
  <c r="Q23" i="1" s="1"/>
  <c r="N23" i="1"/>
  <c r="M23" i="1"/>
  <c r="J23" i="1"/>
  <c r="K23" i="1" s="1"/>
  <c r="H23" i="1"/>
  <c r="G23" i="1"/>
  <c r="R22" i="1"/>
  <c r="S22" i="1" s="1"/>
  <c r="P22" i="1"/>
  <c r="Q22" i="1" s="1"/>
  <c r="N22" i="1"/>
  <c r="M22" i="1"/>
  <c r="J22" i="1"/>
  <c r="K22" i="1" s="1"/>
  <c r="G22" i="1"/>
  <c r="H22" i="1" s="1"/>
  <c r="O21" i="1"/>
  <c r="L21" i="1"/>
  <c r="P21" i="1" s="1"/>
  <c r="Q21" i="1" s="1"/>
  <c r="J21" i="1"/>
  <c r="K21" i="1" s="1"/>
  <c r="I21" i="1"/>
  <c r="F21" i="1"/>
  <c r="E21" i="1"/>
  <c r="R21" i="1" s="1"/>
  <c r="S21" i="1" s="1"/>
  <c r="D21" i="1"/>
  <c r="O20" i="1"/>
  <c r="I20" i="1"/>
  <c r="I13" i="1" s="1"/>
  <c r="F20" i="1"/>
  <c r="J20" i="1" s="1"/>
  <c r="K20" i="1" s="1"/>
  <c r="R19" i="1"/>
  <c r="S19" i="1" s="1"/>
  <c r="P19" i="1"/>
  <c r="Q19" i="1" s="1"/>
  <c r="N19" i="1"/>
  <c r="M19" i="1"/>
  <c r="K19" i="1"/>
  <c r="J19" i="1"/>
  <c r="H19" i="1"/>
  <c r="G19" i="1"/>
  <c r="R18" i="1"/>
  <c r="S18" i="1" s="1"/>
  <c r="Q18" i="1"/>
  <c r="P18" i="1"/>
  <c r="M18" i="1"/>
  <c r="N18" i="1" s="1"/>
  <c r="J18" i="1"/>
  <c r="K18" i="1" s="1"/>
  <c r="G18" i="1"/>
  <c r="H18" i="1" s="1"/>
  <c r="S17" i="1"/>
  <c r="R17" i="1"/>
  <c r="Q17" i="1"/>
  <c r="P17" i="1"/>
  <c r="M17" i="1"/>
  <c r="N17" i="1" s="1"/>
  <c r="K17" i="1"/>
  <c r="J17" i="1"/>
  <c r="G17" i="1"/>
  <c r="H17" i="1" s="1"/>
  <c r="R16" i="1"/>
  <c r="S16" i="1" s="1"/>
  <c r="P16" i="1"/>
  <c r="Q16" i="1" s="1"/>
  <c r="O16" i="1"/>
  <c r="M16" i="1"/>
  <c r="N16" i="1" s="1"/>
  <c r="L16" i="1"/>
  <c r="I16" i="1"/>
  <c r="F16" i="1"/>
  <c r="J16" i="1" s="1"/>
  <c r="K16" i="1" s="1"/>
  <c r="E16" i="1"/>
  <c r="G16" i="1" s="1"/>
  <c r="H16" i="1" s="1"/>
  <c r="D16" i="1"/>
  <c r="E20" i="1" l="1"/>
  <c r="G20" i="1" s="1"/>
  <c r="H20" i="1" s="1"/>
  <c r="G21" i="1"/>
  <c r="H21" i="1" s="1"/>
  <c r="I14" i="1"/>
  <c r="E13" i="1"/>
  <c r="M20" i="1"/>
  <c r="N20" i="1" s="1"/>
  <c r="O13" i="1"/>
  <c r="R20" i="1"/>
  <c r="S20" i="1" s="1"/>
  <c r="D20" i="1"/>
  <c r="D13" i="1" s="1"/>
  <c r="D14" i="1" s="1"/>
  <c r="D15" i="1" s="1"/>
  <c r="M21" i="1"/>
  <c r="N21" i="1" s="1"/>
  <c r="L20" i="1"/>
  <c r="G45" i="1"/>
  <c r="H45" i="1" s="1"/>
  <c r="F13" i="1"/>
  <c r="F14" i="1" l="1"/>
  <c r="J13" i="1"/>
  <c r="K13" i="1" s="1"/>
  <c r="P20" i="1"/>
  <c r="Q20" i="1" s="1"/>
  <c r="L13" i="1"/>
  <c r="R13" i="1"/>
  <c r="S13" i="1" s="1"/>
  <c r="O14" i="1"/>
  <c r="E14" i="1"/>
  <c r="G13" i="1"/>
  <c r="H13" i="1" s="1"/>
  <c r="I15" i="1"/>
  <c r="P13" i="1" l="1"/>
  <c r="Q13" i="1" s="1"/>
  <c r="L14" i="1"/>
  <c r="M13" i="1"/>
  <c r="N13" i="1" s="1"/>
  <c r="G14" i="1"/>
  <c r="H14" i="1" s="1"/>
  <c r="E15" i="1"/>
  <c r="R14" i="1"/>
  <c r="S14" i="1" s="1"/>
  <c r="O15" i="1"/>
  <c r="R15" i="1" s="1"/>
  <c r="S15" i="1" s="1"/>
  <c r="J14" i="1"/>
  <c r="K14" i="1" s="1"/>
  <c r="F15" i="1"/>
  <c r="J15" i="1" s="1"/>
  <c r="K15" i="1" s="1"/>
  <c r="G15" i="1" l="1"/>
  <c r="H15" i="1" s="1"/>
  <c r="P14" i="1"/>
  <c r="Q14" i="1" s="1"/>
  <c r="L15" i="1"/>
  <c r="M14" i="1"/>
  <c r="N14" i="1" s="1"/>
  <c r="P15" i="1" l="1"/>
  <c r="Q15" i="1" s="1"/>
  <c r="M15" i="1"/>
  <c r="N15" i="1" s="1"/>
</calcChain>
</file>

<file path=xl/sharedStrings.xml><?xml version="1.0" encoding="utf-8"?>
<sst xmlns="http://schemas.openxmlformats.org/spreadsheetml/2006/main" count="178" uniqueCount="140">
  <si>
    <t>CỘNG HOÀ XÃ HỘI CHỦ NGHĨA VIỆT NAM</t>
  </si>
  <si>
    <r>
      <t>Độc l</t>
    </r>
    <r>
      <rPr>
        <b/>
        <u/>
        <sz val="12"/>
        <rFont val="Times New Roman"/>
        <family val="1"/>
      </rPr>
      <t xml:space="preserve">ập - Tự do - Hạnh </t>
    </r>
    <r>
      <rPr>
        <b/>
        <sz val="12"/>
        <rFont val="Times New Roman"/>
        <family val="1"/>
      </rPr>
      <t>phúc</t>
    </r>
  </si>
  <si>
    <t>KẾ HOẠCH TÍN DỤNG GIAI ĐOẠN 2026- 2030</t>
  </si>
  <si>
    <t>Đơn vị: triệu đồng, %, hộ, người</t>
  </si>
  <si>
    <t>STT</t>
  </si>
  <si>
    <t>CHỈ TIÊU</t>
  </si>
  <si>
    <t>Kế hoạch tín dụng năm 2027</t>
  </si>
  <si>
    <t>Kế hoạch tín dụng năm 2028</t>
  </si>
  <si>
    <t>Kế hoạch tín dụng năm 2029</t>
  </si>
  <si>
    <t>Kế hoạch tín dụng năm 2030</t>
  </si>
  <si>
    <t>Tổng số</t>
  </si>
  <si>
    <t>Tăng, giảm so với 31/12/2026</t>
  </si>
  <si>
    <t>Tăng, giảm so với 31/12/2027</t>
  </si>
  <si>
    <t>Tăng, giảm so với 31/12/2028</t>
  </si>
  <si>
    <t>Tăng, giảm so với 31/12/2029</t>
  </si>
  <si>
    <t>Số tuyệt đối (+/-)</t>
  </si>
  <si>
    <t>Số tương đối (%)</t>
  </si>
  <si>
    <t>NGÂN HÀNG CHÍNH SÁCH XÃ HỘI</t>
  </si>
  <si>
    <t>MÃ CHỈ TIÊU</t>
  </si>
  <si>
    <t>A</t>
  </si>
  <si>
    <t>XD0001</t>
  </si>
  <si>
    <t>I</t>
  </si>
  <si>
    <t>XD0002</t>
  </si>
  <si>
    <t>XD0003</t>
  </si>
  <si>
    <t>XD0004</t>
  </si>
  <si>
    <t>XD0005</t>
  </si>
  <si>
    <t>XD0006</t>
  </si>
  <si>
    <t>II</t>
  </si>
  <si>
    <t>XD0007</t>
  </si>
  <si>
    <t>B</t>
  </si>
  <si>
    <t>XD0008</t>
  </si>
  <si>
    <t>XD0009</t>
  </si>
  <si>
    <t>XD00010</t>
  </si>
  <si>
    <t>XD00011</t>
  </si>
  <si>
    <t>XD00012</t>
  </si>
  <si>
    <t>XD00013</t>
  </si>
  <si>
    <t>XD00014</t>
  </si>
  <si>
    <t>XD00015</t>
  </si>
  <si>
    <t>XD00016</t>
  </si>
  <si>
    <t>XD00017</t>
  </si>
  <si>
    <t>XD00018</t>
  </si>
  <si>
    <t>XD00019</t>
  </si>
  <si>
    <t>XD00020</t>
  </si>
  <si>
    <t>XD00021</t>
  </si>
  <si>
    <t>XD00022</t>
  </si>
  <si>
    <t>XD00023</t>
  </si>
  <si>
    <t>XD00024</t>
  </si>
  <si>
    <t>XD00025</t>
  </si>
  <si>
    <t>XD00026</t>
  </si>
  <si>
    <t>XD00027</t>
  </si>
  <si>
    <t>XD00028</t>
  </si>
  <si>
    <t>XD00029</t>
  </si>
  <si>
    <t>XD00030</t>
  </si>
  <si>
    <t>XD00031</t>
  </si>
  <si>
    <t>XD00032</t>
  </si>
  <si>
    <t>XD00033</t>
  </si>
  <si>
    <t>XD00034</t>
  </si>
  <si>
    <t>XD00035</t>
  </si>
  <si>
    <t>XD00036</t>
  </si>
  <si>
    <t>XD00037</t>
  </si>
  <si>
    <t>XD00038</t>
  </si>
  <si>
    <t>XD00039</t>
  </si>
  <si>
    <t>XD00040</t>
  </si>
  <si>
    <t>XD00041</t>
  </si>
  <si>
    <t>XD00042</t>
  </si>
  <si>
    <t>XD00043</t>
  </si>
  <si>
    <t>XD00044</t>
  </si>
  <si>
    <t>XD00045</t>
  </si>
  <si>
    <t>XD00046</t>
  </si>
  <si>
    <t>XD00047</t>
  </si>
  <si>
    <t>Nguồn vốn cân đối từ Trung ương</t>
  </si>
  <si>
    <t>Nguốn vốn nhận uỷ thác tại địa phương</t>
  </si>
  <si>
    <t>DƯ NỢ CÁC CHƯƠNG TRÌNH TÍN DỤNG</t>
  </si>
  <si>
    <t>Dư nợ từ nguồn vốn Trung ương</t>
  </si>
  <si>
    <t>Cho vay hộ nghèo</t>
  </si>
  <si>
    <t>Cho vay hộ cận nghèo</t>
  </si>
  <si>
    <t xml:space="preserve">Cho vay hộ mới thoát nghèo </t>
  </si>
  <si>
    <t>Cho vay hỗ trợ tạo việc làm, duy trì và mở rộng việc làm</t>
  </si>
  <si>
    <t>Cho vay từ nguồn vốn theo Nghị quyết 11/NQ-CP</t>
  </si>
  <si>
    <t>Cho vay người lao động đi làm việc ở nước ngoài</t>
  </si>
  <si>
    <t xml:space="preserve">Cho vay hộ gia đình SXKD tại vùng khó khăn </t>
  </si>
  <si>
    <t>Cho vay thương nhân tại vùng khó khăn</t>
  </si>
  <si>
    <t xml:space="preserve">Cho vay phát triển kinh tế - xã hội vùng đồng bào DTTS và miền núi </t>
  </si>
  <si>
    <t xml:space="preserve">Cho vay người chấp hành xong án phạt tù </t>
  </si>
  <si>
    <t xml:space="preserve">Cho vay người sau cai nghiện ma túy </t>
  </si>
  <si>
    <t xml:space="preserve">Cho vay học sinh, sinh viên có hoàn cảnh khó khăn </t>
  </si>
  <si>
    <t>Cho vay HSSV, học viên thạc sĩ, nghiên cứu sinh học các ngành khoa học, công nghệ, kỹ thuật và toán</t>
  </si>
  <si>
    <t>Cho vay nước sạch và vệ sinh môi trường nông thôn</t>
  </si>
  <si>
    <t xml:space="preserve">Cho vay nhà ở xã hội </t>
  </si>
  <si>
    <t>Cho vay dự án vốn nước ngoài</t>
  </si>
  <si>
    <t>Các chương trình đã hết thời hạn giải ngân</t>
  </si>
  <si>
    <t xml:space="preserve">- Cho vay hỗ trợ hộ nghèo về nhà ở </t>
  </si>
  <si>
    <t>- Cho vay nhà ở vùng thường xuyên ngập lũ ĐBSCL</t>
  </si>
  <si>
    <t>- Cho vay hộ đồng bào dân tộc thiểu số</t>
  </si>
  <si>
    <t>- Cho vay khác</t>
  </si>
  <si>
    <t xml:space="preserve">Dư nợ từ nguồn vốn nhận ủy thác tại địa phương </t>
  </si>
  <si>
    <t>Cho vay khác</t>
  </si>
  <si>
    <t xml:space="preserve">THUYẾT MINH MỘT SỐ CHỈ TIÊU </t>
  </si>
  <si>
    <t>Số hộ dân cư trú trên địa bàn (hộ)</t>
  </si>
  <si>
    <t>Số hộ nghèo trên địa bàn (hộ)</t>
  </si>
  <si>
    <t xml:space="preserve">Số hộ nghèo đủ điều kiện, có nhu cầu vay vốn phát sinh trong năm </t>
  </si>
  <si>
    <t>Số hộ cận nghèo trên địa bàn (hộ)</t>
  </si>
  <si>
    <t xml:space="preserve">Số hộ cận nghèo đủ điều kiện, có nhu cầu vay vốn phát sinh trong năm </t>
  </si>
  <si>
    <t>Số hộ mới thoát nghèo (hộ)</t>
  </si>
  <si>
    <t>Số hộ mới thoát nghèo đủ điều kiện, có nhu cầu vay vốn phát sinh trong năm</t>
  </si>
  <si>
    <t>Số lao động có nhu cầu vay vốn tạo việc làm trong năm (lao động)</t>
  </si>
  <si>
    <t>Số HSSV có nhu cầu vay vốn trong năm (HSSV)</t>
  </si>
  <si>
    <t>Số công trình nước sạch và vệ sinh môi trường nông thôn được sửa chữa, xây mới trong năm (công trình)</t>
  </si>
  <si>
    <t>Số căn nhà ở xã hội được mua/thuê mua, xây dựng/sửa chữa, xây mới trong năm (căn nhà)</t>
  </si>
  <si>
    <t>Tr/đó</t>
  </si>
  <si>
    <t>XD0004A</t>
  </si>
  <si>
    <t>XD0008A</t>
  </si>
  <si>
    <t>XD00014A</t>
  </si>
  <si>
    <t>XD01</t>
  </si>
  <si>
    <t>XD02</t>
  </si>
  <si>
    <t>XD0201</t>
  </si>
  <si>
    <t>XD0101</t>
  </si>
  <si>
    <t>XD0102</t>
  </si>
  <si>
    <t>Thực hiện đến 31/12/2025</t>
  </si>
  <si>
    <t>Ước thực hiện đến 31/12/2026</t>
  </si>
  <si>
    <t>Biểu số: 03/NHCS-KH</t>
  </si>
  <si>
    <t>NGUỒN VỐN (A=B+C)</t>
  </si>
  <si>
    <t>Nguồn vốn cân đối chuyển từ Trung ương</t>
  </si>
  <si>
    <t>Nguồn vốn huy động tại địa phương được cấp bù lãi suất</t>
  </si>
  <si>
    <t>a</t>
  </si>
  <si>
    <t>Tiền gửi của tổ chức, cá nhân</t>
  </si>
  <si>
    <t>b</t>
  </si>
  <si>
    <t>Tiền gửi của Tổ viên Tổ tiết kiệm và vay vốn</t>
  </si>
  <si>
    <t>C</t>
  </si>
  <si>
    <t>QUỸ AN TOÀN CHI TRẢ</t>
  </si>
  <si>
    <t>D</t>
  </si>
  <si>
    <t>Tổng số xã trên địa bàn</t>
  </si>
  <si>
    <t>Số xã thuộc vùng khó khăn</t>
  </si>
  <si>
    <t>XD01011</t>
  </si>
  <si>
    <t>XD01012</t>
  </si>
  <si>
    <t>XD01013</t>
  </si>
  <si>
    <t>XD01014</t>
  </si>
  <si>
    <t>XD03</t>
  </si>
  <si>
    <t>XD00048</t>
  </si>
  <si>
    <t>XD00049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</si>
</sst>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;@"/>
  </numFmts>
  <fonts count="17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sz val="12"/>
      <name val=".VnTime"/>
      <family val="2"/>
    </font>
    <font>
      <i/>
      <sz val="11"/>
      <name val="Times New Roman"/>
      <family val="1"/>
    </font>
    <font>
      <sz val="10"/>
      <name val="Arial"/>
      <family val="2"/>
      <charset val="163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i/>
      <sz val="13"/>
      <name val="Times New Roman"/>
      <family val="1"/>
    </font>
    <font>
      <b/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2" fillId="0" borderId="0"/>
    <xf numFmtId="0" fontId="14" fillId="0" borderId="0"/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  <xf numFmtId="0" fontId="6" fillId="0" borderId="0" xfId="0" applyFont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4" borderId="8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1" fillId="2" borderId="11" xfId="3" quotePrefix="1" applyNumberFormat="1" applyFont="1" applyFill="1" applyBorder="1" applyAlignment="1">
      <alignment vertical="top" wrapText="1"/>
    </xf>
    <xf numFmtId="164" fontId="1" fillId="2" borderId="12" xfId="1" applyNumberFormat="1" applyFont="1" applyFill="1" applyBorder="1" applyAlignment="1">
      <alignment horizontal="right" vertical="top" wrapText="1"/>
    </xf>
    <xf numFmtId="164" fontId="1" fillId="2" borderId="12" xfId="3" quotePrefix="1" applyNumberFormat="1" applyFont="1" applyFill="1" applyBorder="1" applyAlignment="1">
      <alignment vertical="top" wrapText="1"/>
    </xf>
    <xf numFmtId="164" fontId="1" fillId="0" borderId="12" xfId="1" applyNumberFormat="1" applyFont="1" applyBorder="1" applyAlignment="1">
      <alignment horizontal="right" vertical="top" wrapText="1"/>
    </xf>
    <xf numFmtId="164" fontId="1" fillId="0" borderId="12" xfId="3" applyNumberFormat="1" applyFont="1" applyBorder="1" applyAlignment="1">
      <alignment vertical="top" wrapText="1"/>
    </xf>
    <xf numFmtId="164" fontId="1" fillId="3" borderId="12" xfId="3" applyNumberFormat="1" applyFont="1" applyFill="1" applyBorder="1" applyAlignment="1">
      <alignment vertical="top" wrapText="1"/>
    </xf>
    <xf numFmtId="164" fontId="1" fillId="0" borderId="12" xfId="3" applyNumberFormat="1" applyFont="1" applyBorder="1" applyAlignment="1">
      <alignment vertical="top"/>
    </xf>
    <xf numFmtId="164" fontId="1" fillId="3" borderId="12" xfId="3" applyNumberFormat="1" applyFont="1" applyFill="1" applyBorder="1" applyAlignment="1">
      <alignment vertical="top"/>
    </xf>
    <xf numFmtId="164" fontId="7" fillId="0" borderId="12" xfId="3" applyNumberFormat="1" applyFont="1" applyBorder="1" applyAlignment="1">
      <alignment vertical="top" wrapText="1"/>
    </xf>
    <xf numFmtId="164" fontId="7" fillId="2" borderId="12" xfId="3" quotePrefix="1" applyNumberFormat="1" applyFont="1" applyFill="1" applyBorder="1" applyAlignment="1">
      <alignment vertical="top" wrapText="1"/>
    </xf>
    <xf numFmtId="164" fontId="7" fillId="3" borderId="12" xfId="3" applyNumberFormat="1" applyFont="1" applyFill="1" applyBorder="1" applyAlignment="1">
      <alignment vertical="top" wrapText="1"/>
    </xf>
    <xf numFmtId="164" fontId="7" fillId="0" borderId="12" xfId="1" applyNumberFormat="1" applyFont="1" applyBorder="1" applyAlignment="1">
      <alignment horizontal="right" vertical="top" wrapText="1"/>
    </xf>
    <xf numFmtId="164" fontId="1" fillId="2" borderId="12" xfId="3" applyNumberFormat="1" applyFont="1" applyFill="1" applyBorder="1" applyAlignment="1">
      <alignment vertical="top" wrapText="1"/>
    </xf>
    <xf numFmtId="164" fontId="1" fillId="0" borderId="13" xfId="1" applyNumberFormat="1" applyFont="1" applyBorder="1" applyAlignment="1">
      <alignment horizontal="right" vertical="top" wrapText="1"/>
    </xf>
    <xf numFmtId="0" fontId="4" fillId="0" borderId="11" xfId="3" applyFont="1" applyBorder="1" applyAlignment="1">
      <alignment horizontal="center" vertical="center" wrapText="1"/>
    </xf>
    <xf numFmtId="0" fontId="4" fillId="0" borderId="12" xfId="3" applyFont="1" applyBorder="1" applyAlignment="1">
      <alignment horizontal="center" vertical="center" wrapText="1"/>
    </xf>
    <xf numFmtId="0" fontId="9" fillId="0" borderId="12" xfId="3" applyFont="1" applyBorder="1" applyAlignment="1">
      <alignment horizontal="center" vertical="center"/>
    </xf>
    <xf numFmtId="0" fontId="1" fillId="0" borderId="12" xfId="1" applyFont="1" applyBorder="1" applyAlignment="1">
      <alignment horizontal="left" vertical="center" wrapText="1"/>
    </xf>
    <xf numFmtId="0" fontId="2" fillId="0" borderId="12" xfId="3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/>
    </xf>
    <xf numFmtId="0" fontId="7" fillId="0" borderId="12" xfId="1" applyFont="1" applyBorder="1" applyAlignment="1">
      <alignment horizontal="left" vertical="center" wrapText="1"/>
    </xf>
    <xf numFmtId="0" fontId="11" fillId="0" borderId="12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1" fillId="0" borderId="12" xfId="3" applyFont="1" applyBorder="1" applyAlignment="1">
      <alignment horizontal="center" vertical="center"/>
    </xf>
    <xf numFmtId="0" fontId="1" fillId="0" borderId="12" xfId="3" applyFont="1" applyBorder="1" applyAlignment="1">
      <alignment vertical="center" wrapText="1"/>
    </xf>
    <xf numFmtId="0" fontId="7" fillId="0" borderId="12" xfId="3" applyFont="1" applyBorder="1" applyAlignment="1">
      <alignment horizontal="center" vertical="center"/>
    </xf>
    <xf numFmtId="0" fontId="7" fillId="0" borderId="12" xfId="2" applyFont="1" applyBorder="1" applyAlignment="1">
      <alignment vertical="center" wrapText="1"/>
    </xf>
    <xf numFmtId="0" fontId="1" fillId="0" borderId="12" xfId="2" applyFont="1" applyBorder="1" applyAlignment="1">
      <alignment vertical="center" wrapText="1"/>
    </xf>
    <xf numFmtId="0" fontId="7" fillId="0" borderId="12" xfId="3" applyFont="1" applyBorder="1" applyAlignment="1">
      <alignment vertical="center" wrapText="1"/>
    </xf>
    <xf numFmtId="0" fontId="7" fillId="0" borderId="12" xfId="3" applyFont="1" applyBorder="1" applyAlignment="1">
      <alignment horizontal="left" vertical="center" wrapText="1"/>
    </xf>
    <xf numFmtId="0" fontId="8" fillId="0" borderId="12" xfId="3" applyFont="1" applyBorder="1" applyAlignment="1">
      <alignment vertical="center"/>
    </xf>
    <xf numFmtId="0" fontId="4" fillId="0" borderId="12" xfId="3" applyFont="1" applyBorder="1" applyAlignment="1">
      <alignment vertical="center" wrapText="1"/>
    </xf>
    <xf numFmtId="0" fontId="1" fillId="0" borderId="12" xfId="3" applyFont="1" applyBorder="1" applyAlignment="1">
      <alignment horizontal="center" vertical="center" wrapText="1"/>
    </xf>
    <xf numFmtId="0" fontId="7" fillId="0" borderId="13" xfId="3" applyFont="1" applyBorder="1" applyAlignment="1">
      <alignment horizontal="center" vertical="center"/>
    </xf>
    <xf numFmtId="164" fontId="7" fillId="0" borderId="13" xfId="1" applyNumberFormat="1" applyFont="1" applyBorder="1" applyAlignment="1">
      <alignment horizontal="right" vertical="top" wrapText="1"/>
    </xf>
    <xf numFmtId="164" fontId="7" fillId="2" borderId="13" xfId="3" quotePrefix="1" applyNumberFormat="1" applyFont="1" applyFill="1" applyBorder="1" applyAlignment="1">
      <alignment vertical="top" wrapText="1"/>
    </xf>
    <xf numFmtId="164" fontId="7" fillId="3" borderId="13" xfId="3" applyNumberFormat="1" applyFont="1" applyFill="1" applyBorder="1" applyAlignment="1">
      <alignment vertical="top" wrapText="1"/>
    </xf>
    <xf numFmtId="0" fontId="3" fillId="0" borderId="12" xfId="3" applyFont="1" applyBorder="1" applyAlignment="1">
      <alignment horizontal="left" vertical="center" wrapText="1"/>
    </xf>
    <xf numFmtId="0" fontId="3" fillId="0" borderId="12" xfId="3" applyFont="1" applyBorder="1" applyAlignment="1">
      <alignment vertical="center" wrapText="1"/>
    </xf>
    <xf numFmtId="0" fontId="1" fillId="0" borderId="12" xfId="3" applyFont="1" applyBorder="1" applyAlignment="1">
      <alignment horizontal="left" vertical="center" wrapText="1"/>
    </xf>
    <xf numFmtId="0" fontId="7" fillId="0" borderId="12" xfId="3" quotePrefix="1" applyFont="1" applyBorder="1" applyAlignment="1">
      <alignment vertical="center" wrapText="1"/>
    </xf>
    <xf numFmtId="0" fontId="1" fillId="0" borderId="12" xfId="3" quotePrefix="1" applyFont="1" applyBorder="1" applyAlignment="1">
      <alignment vertical="center" wrapText="1"/>
    </xf>
    <xf numFmtId="0" fontId="7" fillId="0" borderId="13" xfId="3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4" fillId="0" borderId="2" xfId="3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right" vertical="center"/>
    </xf>
    <xf numFmtId="0" fontId="4" fillId="0" borderId="5" xfId="3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0" fontId="4" fillId="0" borderId="7" xfId="3" applyFont="1" applyFill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 wrapText="1"/>
    </xf>
    <xf numFmtId="0" fontId="7" fillId="0" borderId="5" xfId="3" applyFont="1" applyFill="1" applyBorder="1" applyAlignment="1">
      <alignment horizontal="center" vertical="center" wrapText="1"/>
    </xf>
    <xf numFmtId="0" fontId="7" fillId="0" borderId="7" xfId="3" applyFont="1" applyFill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4">
    <cellStyle name="Normal" xfId="0" builtinId="0"/>
    <cellStyle name="Normal 4" xfId="3"/>
    <cellStyle name="Normal 5" xfId="2"/>
    <cellStyle name="Normal_1a. Mau bieu Ke hoach hoa  949 ngay 08-6-200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tabSelected="1" zoomScale="65" zoomScaleNormal="65" workbookViewId="0">
      <selection activeCell="I27" sqref="I27"/>
    </sheetView>
  </sheetViews>
  <sheetFormatPr defaultColWidth="9.109375" defaultRowHeight="15.6" x14ac:dyDescent="0.3"/>
  <cols>
    <col min="1" max="1" width="6.44140625" style="1" customWidth="1"/>
    <col min="2" max="2" width="12.44140625" style="1" customWidth="1"/>
    <col min="3" max="3" width="77.5546875" style="1" customWidth="1"/>
    <col min="4" max="7" width="13.77734375" style="1" customWidth="1"/>
    <col min="8" max="19" width="13.77734375" style="2" customWidth="1"/>
    <col min="20" max="20" width="10.5546875" style="2" customWidth="1"/>
    <col min="21" max="21" width="11.44140625" style="2" customWidth="1"/>
    <col min="22" max="22" width="10.5546875" style="2" customWidth="1"/>
    <col min="23" max="16384" width="9.109375" style="2"/>
  </cols>
  <sheetData>
    <row r="1" spans="1:22" x14ac:dyDescent="0.3">
      <c r="K1" s="86" t="s">
        <v>120</v>
      </c>
      <c r="L1" s="86"/>
      <c r="M1" s="86"/>
      <c r="N1" s="86"/>
      <c r="O1" s="86"/>
      <c r="P1" s="86"/>
      <c r="Q1" s="86"/>
      <c r="R1" s="86"/>
      <c r="S1" s="86"/>
      <c r="T1" s="21"/>
      <c r="U1" s="21"/>
      <c r="V1" s="21"/>
    </row>
    <row r="2" spans="1:22" x14ac:dyDescent="0.25">
      <c r="A2" s="27" t="s">
        <v>17</v>
      </c>
      <c r="C2" s="10"/>
      <c r="I2" s="3"/>
      <c r="J2" s="3"/>
    </row>
    <row r="3" spans="1:22" x14ac:dyDescent="0.25">
      <c r="A3" s="93"/>
      <c r="B3" s="93"/>
      <c r="C3" s="93"/>
      <c r="D3" s="4"/>
      <c r="E3" s="12"/>
      <c r="G3" s="28" t="s">
        <v>0</v>
      </c>
      <c r="H3" s="12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x14ac:dyDescent="0.3">
      <c r="A4" s="93"/>
      <c r="B4" s="93"/>
      <c r="C4" s="93"/>
      <c r="D4" s="4"/>
      <c r="E4" s="13"/>
      <c r="G4" s="16" t="s">
        <v>1</v>
      </c>
      <c r="H4" s="13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 x14ac:dyDescent="0.3">
      <c r="C5" s="4"/>
      <c r="D5" s="4"/>
    </row>
    <row r="6" spans="1:22" ht="17.399999999999999" x14ac:dyDescent="0.3">
      <c r="A6" s="87" t="s">
        <v>2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19"/>
      <c r="U6" s="19"/>
      <c r="V6" s="19"/>
    </row>
    <row r="7" spans="1:22" x14ac:dyDescent="0.3">
      <c r="K7" s="76" t="s">
        <v>3</v>
      </c>
      <c r="L7" s="76"/>
      <c r="M7" s="76"/>
      <c r="N7" s="76"/>
      <c r="O7" s="76"/>
      <c r="P7" s="76"/>
      <c r="Q7" s="76"/>
      <c r="R7" s="76"/>
      <c r="S7" s="76"/>
    </row>
    <row r="8" spans="1:22" x14ac:dyDescent="0.3">
      <c r="A8" s="94" t="s">
        <v>4</v>
      </c>
      <c r="B8" s="95" t="s">
        <v>18</v>
      </c>
      <c r="C8" s="91" t="s">
        <v>5</v>
      </c>
      <c r="D8" s="83" t="s">
        <v>118</v>
      </c>
      <c r="E8" s="91" t="s">
        <v>119</v>
      </c>
      <c r="F8" s="91" t="s">
        <v>6</v>
      </c>
      <c r="G8" s="91"/>
      <c r="H8" s="91"/>
      <c r="I8" s="91" t="s">
        <v>7</v>
      </c>
      <c r="J8" s="91"/>
      <c r="K8" s="91"/>
      <c r="L8" s="88" t="s">
        <v>8</v>
      </c>
      <c r="M8" s="89"/>
      <c r="N8" s="90"/>
      <c r="O8" s="88" t="s">
        <v>9</v>
      </c>
      <c r="P8" s="89"/>
      <c r="Q8" s="89"/>
      <c r="R8" s="89"/>
      <c r="S8" s="90"/>
      <c r="T8" s="20"/>
      <c r="U8" s="20"/>
      <c r="V8" s="20"/>
    </row>
    <row r="9" spans="1:22" x14ac:dyDescent="0.3">
      <c r="A9" s="94"/>
      <c r="B9" s="96"/>
      <c r="C9" s="91"/>
      <c r="D9" s="84"/>
      <c r="E9" s="91"/>
      <c r="F9" s="83" t="s">
        <v>10</v>
      </c>
      <c r="G9" s="74" t="s">
        <v>11</v>
      </c>
      <c r="H9" s="75"/>
      <c r="I9" s="77" t="s">
        <v>10</v>
      </c>
      <c r="J9" s="74" t="s">
        <v>12</v>
      </c>
      <c r="K9" s="75"/>
      <c r="L9" s="77" t="s">
        <v>10</v>
      </c>
      <c r="M9" s="74" t="s">
        <v>13</v>
      </c>
      <c r="N9" s="75"/>
      <c r="O9" s="77" t="s">
        <v>10</v>
      </c>
      <c r="P9" s="74" t="s">
        <v>14</v>
      </c>
      <c r="Q9" s="75"/>
      <c r="R9" s="74" t="s">
        <v>11</v>
      </c>
      <c r="S9" s="75"/>
      <c r="T9" s="15"/>
      <c r="U9" s="15"/>
      <c r="V9" s="15"/>
    </row>
    <row r="10" spans="1:22" x14ac:dyDescent="0.3">
      <c r="A10" s="94"/>
      <c r="B10" s="96"/>
      <c r="C10" s="91"/>
      <c r="D10" s="84"/>
      <c r="E10" s="91"/>
      <c r="F10" s="84"/>
      <c r="G10" s="80" t="s">
        <v>15</v>
      </c>
      <c r="H10" s="80" t="s">
        <v>16</v>
      </c>
      <c r="I10" s="78"/>
      <c r="J10" s="80" t="s">
        <v>15</v>
      </c>
      <c r="K10" s="80" t="s">
        <v>16</v>
      </c>
      <c r="L10" s="78"/>
      <c r="M10" s="81" t="s">
        <v>15</v>
      </c>
      <c r="N10" s="81" t="s">
        <v>16</v>
      </c>
      <c r="O10" s="78"/>
      <c r="P10" s="80" t="s">
        <v>15</v>
      </c>
      <c r="Q10" s="80" t="s">
        <v>16</v>
      </c>
      <c r="R10" s="80" t="s">
        <v>15</v>
      </c>
      <c r="S10" s="80" t="s">
        <v>16</v>
      </c>
      <c r="T10" s="16"/>
      <c r="U10" s="16"/>
      <c r="V10" s="16"/>
    </row>
    <row r="11" spans="1:22" x14ac:dyDescent="0.3">
      <c r="A11" s="94"/>
      <c r="B11" s="97"/>
      <c r="C11" s="91"/>
      <c r="D11" s="85"/>
      <c r="E11" s="91"/>
      <c r="F11" s="85"/>
      <c r="G11" s="80"/>
      <c r="H11" s="80"/>
      <c r="I11" s="79"/>
      <c r="J11" s="80"/>
      <c r="K11" s="80"/>
      <c r="L11" s="79"/>
      <c r="M11" s="82"/>
      <c r="N11" s="82"/>
      <c r="O11" s="79"/>
      <c r="P11" s="80"/>
      <c r="Q11" s="80"/>
      <c r="R11" s="80"/>
      <c r="S11" s="80"/>
      <c r="T11" s="15"/>
      <c r="U11" s="15"/>
      <c r="V11" s="15"/>
    </row>
    <row r="12" spans="1:22" ht="13.2" x14ac:dyDescent="0.3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  <c r="L12" s="5">
        <v>12</v>
      </c>
      <c r="M12" s="5">
        <v>13</v>
      </c>
      <c r="N12" s="5">
        <v>14</v>
      </c>
      <c r="O12" s="5">
        <v>15</v>
      </c>
      <c r="P12" s="5">
        <v>16</v>
      </c>
      <c r="Q12" s="5">
        <v>17</v>
      </c>
      <c r="R12" s="5">
        <v>18</v>
      </c>
      <c r="S12" s="5">
        <v>19</v>
      </c>
    </row>
    <row r="13" spans="1:22" x14ac:dyDescent="0.3">
      <c r="A13" s="43" t="s">
        <v>19</v>
      </c>
      <c r="B13" s="22" t="s">
        <v>113</v>
      </c>
      <c r="C13" s="43" t="s">
        <v>121</v>
      </c>
      <c r="D13" s="29">
        <f>D20+D60</f>
        <v>0</v>
      </c>
      <c r="E13" s="29">
        <f t="shared" ref="E13:F13" si="0">E20+E60</f>
        <v>0</v>
      </c>
      <c r="F13" s="29">
        <f t="shared" si="0"/>
        <v>0</v>
      </c>
      <c r="G13" s="29" t="str">
        <f t="shared" ref="G13:G74" si="1">IF(OR(E13&lt;&gt;0,F13&lt;&gt;0),F13-E13,"")</f>
        <v/>
      </c>
      <c r="H13" s="29" t="str">
        <f t="shared" ref="H13:H74" si="2">IF(OR(ISBLANK(G13), G13="",AND(E13=0,G13=0)), "", IF(AND(E13=0, G13&gt;0), 100, IF(AND(E13&gt;0, G13=0), 0, ROUND((G13/E13)*100, 3))))</f>
        <v/>
      </c>
      <c r="I13" s="29">
        <f t="shared" ref="I13" si="3">I20+I60</f>
        <v>0</v>
      </c>
      <c r="J13" s="29" t="str">
        <f>IF(OR(F13&lt;&gt;0,I13&lt;&gt;0),I13-F13,"")</f>
        <v/>
      </c>
      <c r="K13" s="29" t="str">
        <f>IF(OR(ISBLANK(J13), J13="",AND(F13=0,J13=0)), "", IF(AND(F13=0, J13&gt;0), 100, IF(AND(F13&gt;0, J13=0), 0, ROUND((J13/F13)*100, 3))))</f>
        <v/>
      </c>
      <c r="L13" s="29">
        <f t="shared" ref="L13" si="4">L20+L60</f>
        <v>0</v>
      </c>
      <c r="M13" s="29" t="str">
        <f>IF(OR(I13&lt;&gt;0,L13&lt;&gt;0),L13-I13,"")</f>
        <v/>
      </c>
      <c r="N13" s="29" t="str">
        <f>IF(OR(ISBLANK(M13), M13="",AND(I13=0,M13=0)), "", IF(AND(I13=0, M13&gt;0), 100, IF(AND(I13&gt;0, M13=0), 0, ROUND((M13/I13)*100, 3))))</f>
        <v/>
      </c>
      <c r="O13" s="29">
        <f t="shared" ref="O13" si="5">O20+O60</f>
        <v>0</v>
      </c>
      <c r="P13" s="29" t="str">
        <f t="shared" ref="P13:P74" si="6">IF(OR(L13&lt;&gt;0,O13&lt;&gt;0),O13-L13,"")</f>
        <v/>
      </c>
      <c r="Q13" s="29" t="str">
        <f t="shared" ref="Q13:Q74" si="7">IF(OR(ISBLANK(P13), P13="",AND(L13=0,P13=0)), "", IF(AND(L13=0, P13&gt;0), 100, IF(AND(L13&gt;0, P13=0), 0, ROUND((P13/L13)*100, 3))))</f>
        <v/>
      </c>
      <c r="R13" s="29" t="str">
        <f>IF(OR(O13&lt;&gt;0,E13&lt;&gt;0),O13-E13,"")</f>
        <v/>
      </c>
      <c r="S13" s="29" t="str">
        <f>IF(OR(ISBLANK(R13), R13="",AND(E13=0,R13=0)), "", IF(AND(E13=0, R13&gt;0), 100, IF(AND(E13&gt;0, R13=0), 0, ROUND((R13/E13)*100, 3))))</f>
        <v/>
      </c>
    </row>
    <row r="14" spans="1:22" s="1" customFormat="1" x14ac:dyDescent="0.3">
      <c r="A14" s="44" t="s">
        <v>21</v>
      </c>
      <c r="B14" s="22" t="s">
        <v>116</v>
      </c>
      <c r="C14" s="67" t="s">
        <v>70</v>
      </c>
      <c r="D14" s="30">
        <f>D13-D19</f>
        <v>0</v>
      </c>
      <c r="E14" s="30">
        <f t="shared" ref="E14" si="8">E13-E19</f>
        <v>0</v>
      </c>
      <c r="F14" s="30">
        <f>F13-F19</f>
        <v>0</v>
      </c>
      <c r="G14" s="31" t="str">
        <f t="shared" si="1"/>
        <v/>
      </c>
      <c r="H14" s="31" t="str">
        <f t="shared" si="2"/>
        <v/>
      </c>
      <c r="I14" s="30">
        <f>I13-I19</f>
        <v>0</v>
      </c>
      <c r="J14" s="31" t="str">
        <f t="shared" ref="J14:J74" si="9">IF(OR(F14&lt;&gt;0,I14&lt;&gt;0),I14-F14,"")</f>
        <v/>
      </c>
      <c r="K14" s="31" t="str">
        <f t="shared" ref="K14:K74" si="10">IF(OR(ISBLANK(J14), J14="",AND(F14=0,J14=0)), "", IF(AND(F14=0, J14&gt;0), 100, IF(AND(F14&gt;0, J14=0), 0, ROUND((J14/F14)*100, 3))))</f>
        <v/>
      </c>
      <c r="L14" s="30">
        <f>L13-L19</f>
        <v>0</v>
      </c>
      <c r="M14" s="31" t="str">
        <f t="shared" ref="M14:M74" si="11">IF(OR(I14&lt;&gt;0,L14&lt;&gt;0),L14-I14,"")</f>
        <v/>
      </c>
      <c r="N14" s="31" t="str">
        <f t="shared" ref="N14:N74" si="12">IF(OR(ISBLANK(M14), M14="",AND(I14=0,M14=0)), "", IF(AND(I14=0, M14&gt;0), 100, IF(AND(I14&gt;0, M14=0), 0, ROUND((M14/I14)*100, 3))))</f>
        <v/>
      </c>
      <c r="O14" s="30">
        <f>O13-O19</f>
        <v>0</v>
      </c>
      <c r="P14" s="31" t="str">
        <f t="shared" si="6"/>
        <v/>
      </c>
      <c r="Q14" s="31" t="str">
        <f t="shared" si="7"/>
        <v/>
      </c>
      <c r="R14" s="31" t="str">
        <f t="shared" ref="R14:R74" si="13">IF(OR(O14&lt;&gt;0,E14&lt;&gt;0),O14-E14,"")</f>
        <v/>
      </c>
      <c r="S14" s="31" t="str">
        <f t="shared" ref="S14:S74" si="14">IF(OR(ISBLANK(R14), R14="",AND(E14=0,R14=0)), "", IF(AND(E14=0, R14&gt;0), 100, IF(AND(E14&gt;0, R14=0), 0, ROUND((R14/E14)*100, 3))))</f>
        <v/>
      </c>
      <c r="T14" s="2"/>
      <c r="U14" s="2"/>
      <c r="V14" s="2"/>
    </row>
    <row r="15" spans="1:22" s="1" customFormat="1" x14ac:dyDescent="0.3">
      <c r="A15" s="45">
        <v>1</v>
      </c>
      <c r="B15" s="22" t="s">
        <v>133</v>
      </c>
      <c r="C15" s="46" t="s">
        <v>122</v>
      </c>
      <c r="D15" s="30">
        <f>D14-D16</f>
        <v>0</v>
      </c>
      <c r="E15" s="30">
        <f t="shared" ref="E15:F15" si="15">E14-E16</f>
        <v>0</v>
      </c>
      <c r="F15" s="30">
        <f t="shared" si="15"/>
        <v>0</v>
      </c>
      <c r="G15" s="31" t="str">
        <f t="shared" si="1"/>
        <v/>
      </c>
      <c r="H15" s="31" t="str">
        <f t="shared" si="2"/>
        <v/>
      </c>
      <c r="I15" s="30">
        <f t="shared" ref="I15" si="16">I14-I16</f>
        <v>0</v>
      </c>
      <c r="J15" s="31" t="str">
        <f t="shared" si="9"/>
        <v/>
      </c>
      <c r="K15" s="31" t="str">
        <f t="shared" si="10"/>
        <v/>
      </c>
      <c r="L15" s="30">
        <f t="shared" ref="L15" si="17">L14-L16</f>
        <v>0</v>
      </c>
      <c r="M15" s="31" t="str">
        <f t="shared" si="11"/>
        <v/>
      </c>
      <c r="N15" s="31" t="str">
        <f t="shared" si="12"/>
        <v/>
      </c>
      <c r="O15" s="30">
        <f t="shared" ref="O15" si="18">O14-O16</f>
        <v>0</v>
      </c>
      <c r="P15" s="31" t="str">
        <f t="shared" si="6"/>
        <v/>
      </c>
      <c r="Q15" s="31" t="str">
        <f t="shared" si="7"/>
        <v/>
      </c>
      <c r="R15" s="31" t="str">
        <f t="shared" si="13"/>
        <v/>
      </c>
      <c r="S15" s="31" t="str">
        <f t="shared" si="14"/>
        <v/>
      </c>
      <c r="T15" s="2"/>
      <c r="U15" s="2"/>
      <c r="V15" s="2"/>
    </row>
    <row r="16" spans="1:22" s="6" customFormat="1" x14ac:dyDescent="0.3">
      <c r="A16" s="47">
        <v>2</v>
      </c>
      <c r="B16" s="22" t="s">
        <v>134</v>
      </c>
      <c r="C16" s="46" t="s">
        <v>123</v>
      </c>
      <c r="D16" s="30">
        <f>D17+D18</f>
        <v>0</v>
      </c>
      <c r="E16" s="30">
        <f t="shared" ref="E16:F16" si="19">E17+E18</f>
        <v>0</v>
      </c>
      <c r="F16" s="30">
        <f t="shared" si="19"/>
        <v>0</v>
      </c>
      <c r="G16" s="31" t="str">
        <f t="shared" si="1"/>
        <v/>
      </c>
      <c r="H16" s="31" t="str">
        <f t="shared" si="2"/>
        <v/>
      </c>
      <c r="I16" s="30">
        <f t="shared" ref="I16" si="20">I17+I18</f>
        <v>0</v>
      </c>
      <c r="J16" s="31" t="str">
        <f t="shared" si="9"/>
        <v/>
      </c>
      <c r="K16" s="31" t="str">
        <f t="shared" si="10"/>
        <v/>
      </c>
      <c r="L16" s="30">
        <f t="shared" ref="L16" si="21">L17+L18</f>
        <v>0</v>
      </c>
      <c r="M16" s="31" t="str">
        <f t="shared" si="11"/>
        <v/>
      </c>
      <c r="N16" s="31" t="str">
        <f t="shared" si="12"/>
        <v/>
      </c>
      <c r="O16" s="30">
        <f t="shared" ref="O16" si="22">O17+O18</f>
        <v>0</v>
      </c>
      <c r="P16" s="31" t="str">
        <f t="shared" si="6"/>
        <v/>
      </c>
      <c r="Q16" s="31" t="str">
        <f t="shared" si="7"/>
        <v/>
      </c>
      <c r="R16" s="31" t="str">
        <f t="shared" si="13"/>
        <v/>
      </c>
      <c r="S16" s="31" t="str">
        <f t="shared" si="14"/>
        <v/>
      </c>
      <c r="T16" s="2"/>
      <c r="U16" s="2"/>
      <c r="V16" s="2"/>
    </row>
    <row r="17" spans="1:22" s="6" customFormat="1" x14ac:dyDescent="0.3">
      <c r="A17" s="48" t="s">
        <v>124</v>
      </c>
      <c r="B17" s="22" t="s">
        <v>135</v>
      </c>
      <c r="C17" s="49" t="s">
        <v>125</v>
      </c>
      <c r="D17" s="40"/>
      <c r="E17" s="40"/>
      <c r="F17" s="37"/>
      <c r="G17" s="38" t="str">
        <f t="shared" si="1"/>
        <v/>
      </c>
      <c r="H17" s="38" t="str">
        <f t="shared" si="2"/>
        <v/>
      </c>
      <c r="I17" s="39"/>
      <c r="J17" s="38" t="str">
        <f t="shared" si="9"/>
        <v/>
      </c>
      <c r="K17" s="38" t="str">
        <f t="shared" si="10"/>
        <v/>
      </c>
      <c r="L17" s="39"/>
      <c r="M17" s="38" t="str">
        <f t="shared" si="11"/>
        <v/>
      </c>
      <c r="N17" s="38" t="str">
        <f t="shared" si="12"/>
        <v/>
      </c>
      <c r="O17" s="39"/>
      <c r="P17" s="38" t="str">
        <f t="shared" si="6"/>
        <v/>
      </c>
      <c r="Q17" s="38" t="str">
        <f t="shared" si="7"/>
        <v/>
      </c>
      <c r="R17" s="38" t="str">
        <f t="shared" si="13"/>
        <v/>
      </c>
      <c r="S17" s="38" t="str">
        <f t="shared" si="14"/>
        <v/>
      </c>
      <c r="T17" s="2"/>
      <c r="U17" s="2"/>
      <c r="V17" s="2"/>
    </row>
    <row r="18" spans="1:22" s="7" customFormat="1" x14ac:dyDescent="0.3">
      <c r="A18" s="50" t="s">
        <v>126</v>
      </c>
      <c r="B18" s="23" t="s">
        <v>136</v>
      </c>
      <c r="C18" s="58" t="s">
        <v>127</v>
      </c>
      <c r="D18" s="40"/>
      <c r="E18" s="40"/>
      <c r="F18" s="37"/>
      <c r="G18" s="38" t="str">
        <f t="shared" si="1"/>
        <v/>
      </c>
      <c r="H18" s="38" t="str">
        <f t="shared" si="2"/>
        <v/>
      </c>
      <c r="I18" s="39"/>
      <c r="J18" s="38" t="str">
        <f t="shared" si="9"/>
        <v/>
      </c>
      <c r="K18" s="38" t="str">
        <f t="shared" si="10"/>
        <v/>
      </c>
      <c r="L18" s="39"/>
      <c r="M18" s="38" t="str">
        <f t="shared" si="11"/>
        <v/>
      </c>
      <c r="N18" s="38" t="str">
        <f t="shared" si="12"/>
        <v/>
      </c>
      <c r="O18" s="39"/>
      <c r="P18" s="38" t="str">
        <f t="shared" si="6"/>
        <v/>
      </c>
      <c r="Q18" s="38" t="str">
        <f t="shared" si="7"/>
        <v/>
      </c>
      <c r="R18" s="38" t="str">
        <f t="shared" si="13"/>
        <v/>
      </c>
      <c r="S18" s="38" t="str">
        <f t="shared" si="14"/>
        <v/>
      </c>
      <c r="T18" s="2"/>
      <c r="U18" s="2"/>
      <c r="V18" s="2"/>
    </row>
    <row r="19" spans="1:22" s="7" customFormat="1" x14ac:dyDescent="0.3">
      <c r="A19" s="51" t="s">
        <v>27</v>
      </c>
      <c r="B19" s="23" t="s">
        <v>117</v>
      </c>
      <c r="C19" s="67" t="s">
        <v>71</v>
      </c>
      <c r="D19" s="32"/>
      <c r="E19" s="32"/>
      <c r="F19" s="33"/>
      <c r="G19" s="31" t="str">
        <f t="shared" si="1"/>
        <v/>
      </c>
      <c r="H19" s="31" t="str">
        <f t="shared" si="2"/>
        <v/>
      </c>
      <c r="I19" s="34"/>
      <c r="J19" s="31" t="str">
        <f t="shared" si="9"/>
        <v/>
      </c>
      <c r="K19" s="31" t="str">
        <f t="shared" si="10"/>
        <v/>
      </c>
      <c r="L19" s="34"/>
      <c r="M19" s="31" t="str">
        <f t="shared" si="11"/>
        <v/>
      </c>
      <c r="N19" s="31" t="str">
        <f t="shared" si="12"/>
        <v/>
      </c>
      <c r="O19" s="34"/>
      <c r="P19" s="31" t="str">
        <f t="shared" si="6"/>
        <v/>
      </c>
      <c r="Q19" s="31" t="str">
        <f t="shared" si="7"/>
        <v/>
      </c>
      <c r="R19" s="31" t="str">
        <f t="shared" si="13"/>
        <v/>
      </c>
      <c r="S19" s="31" t="str">
        <f t="shared" si="14"/>
        <v/>
      </c>
      <c r="T19" s="2"/>
      <c r="U19" s="2"/>
      <c r="V19" s="2"/>
    </row>
    <row r="20" spans="1:22" s="7" customFormat="1" x14ac:dyDescent="0.3">
      <c r="A20" s="44" t="s">
        <v>29</v>
      </c>
      <c r="B20" s="23" t="s">
        <v>114</v>
      </c>
      <c r="C20" s="44" t="s">
        <v>72</v>
      </c>
      <c r="D20" s="30">
        <f>D21+D45</f>
        <v>0</v>
      </c>
      <c r="E20" s="30">
        <f t="shared" ref="E20:F20" si="23">E21+E45</f>
        <v>0</v>
      </c>
      <c r="F20" s="30">
        <f t="shared" si="23"/>
        <v>0</v>
      </c>
      <c r="G20" s="31" t="str">
        <f t="shared" si="1"/>
        <v/>
      </c>
      <c r="H20" s="31" t="str">
        <f t="shared" si="2"/>
        <v/>
      </c>
      <c r="I20" s="30">
        <f>I21+I45</f>
        <v>0</v>
      </c>
      <c r="J20" s="31" t="str">
        <f t="shared" si="9"/>
        <v/>
      </c>
      <c r="K20" s="31" t="str">
        <f t="shared" si="10"/>
        <v/>
      </c>
      <c r="L20" s="30">
        <f>L21+L45</f>
        <v>0</v>
      </c>
      <c r="M20" s="31" t="str">
        <f t="shared" si="11"/>
        <v/>
      </c>
      <c r="N20" s="31" t="str">
        <f t="shared" si="12"/>
        <v/>
      </c>
      <c r="O20" s="30">
        <f>O21+O45</f>
        <v>0</v>
      </c>
      <c r="P20" s="31" t="str">
        <f t="shared" si="6"/>
        <v/>
      </c>
      <c r="Q20" s="31" t="str">
        <f t="shared" si="7"/>
        <v/>
      </c>
      <c r="R20" s="31" t="str">
        <f t="shared" si="13"/>
        <v/>
      </c>
      <c r="S20" s="31" t="str">
        <f t="shared" si="14"/>
        <v/>
      </c>
      <c r="T20" s="2"/>
      <c r="U20" s="2"/>
      <c r="V20" s="2"/>
    </row>
    <row r="21" spans="1:22" x14ac:dyDescent="0.3">
      <c r="A21" s="52" t="s">
        <v>21</v>
      </c>
      <c r="B21" s="23" t="s">
        <v>115</v>
      </c>
      <c r="C21" s="68" t="s">
        <v>73</v>
      </c>
      <c r="D21" s="30">
        <f>SUM(D22:D40)-D26-D31-D35-D38</f>
        <v>0</v>
      </c>
      <c r="E21" s="30">
        <f t="shared" ref="E21:F21" si="24">SUM(E22:E40)-E26-E31-E35-E38</f>
        <v>0</v>
      </c>
      <c r="F21" s="30">
        <f t="shared" si="24"/>
        <v>0</v>
      </c>
      <c r="G21" s="31" t="str">
        <f t="shared" si="1"/>
        <v/>
      </c>
      <c r="H21" s="31" t="str">
        <f t="shared" si="2"/>
        <v/>
      </c>
      <c r="I21" s="30">
        <f>SUM(I22:I40)-I26-I31-I35-I38</f>
        <v>0</v>
      </c>
      <c r="J21" s="31" t="str">
        <f t="shared" si="9"/>
        <v/>
      </c>
      <c r="K21" s="31" t="str">
        <f t="shared" si="10"/>
        <v/>
      </c>
      <c r="L21" s="30">
        <f>SUM(L22:L40)-L26-L31-L35-L38</f>
        <v>0</v>
      </c>
      <c r="M21" s="31" t="str">
        <f t="shared" si="11"/>
        <v/>
      </c>
      <c r="N21" s="31" t="str">
        <f t="shared" si="12"/>
        <v/>
      </c>
      <c r="O21" s="30">
        <f>SUM(O22:O40)-O26-O31-O35-O38</f>
        <v>0</v>
      </c>
      <c r="P21" s="31" t="str">
        <f t="shared" si="6"/>
        <v/>
      </c>
      <c r="Q21" s="31" t="str">
        <f t="shared" si="7"/>
        <v/>
      </c>
      <c r="R21" s="31" t="str">
        <f t="shared" si="13"/>
        <v/>
      </c>
      <c r="S21" s="31" t="str">
        <f t="shared" si="14"/>
        <v/>
      </c>
    </row>
    <row r="22" spans="1:22" x14ac:dyDescent="0.3">
      <c r="A22" s="53">
        <v>1</v>
      </c>
      <c r="B22" s="22" t="s">
        <v>20</v>
      </c>
      <c r="C22" s="54" t="s">
        <v>74</v>
      </c>
      <c r="D22" s="32"/>
      <c r="E22" s="32"/>
      <c r="F22" s="33"/>
      <c r="G22" s="31" t="str">
        <f t="shared" si="1"/>
        <v/>
      </c>
      <c r="H22" s="31" t="str">
        <f t="shared" si="2"/>
        <v/>
      </c>
      <c r="I22" s="34"/>
      <c r="J22" s="31" t="str">
        <f t="shared" si="9"/>
        <v/>
      </c>
      <c r="K22" s="31" t="str">
        <f t="shared" si="10"/>
        <v/>
      </c>
      <c r="L22" s="34"/>
      <c r="M22" s="31" t="str">
        <f t="shared" si="11"/>
        <v/>
      </c>
      <c r="N22" s="31" t="str">
        <f t="shared" si="12"/>
        <v/>
      </c>
      <c r="O22" s="34"/>
      <c r="P22" s="31" t="str">
        <f t="shared" si="6"/>
        <v/>
      </c>
      <c r="Q22" s="31" t="str">
        <f t="shared" si="7"/>
        <v/>
      </c>
      <c r="R22" s="31" t="str">
        <f t="shared" si="13"/>
        <v/>
      </c>
      <c r="S22" s="31" t="str">
        <f t="shared" si="14"/>
        <v/>
      </c>
    </row>
    <row r="23" spans="1:22" x14ac:dyDescent="0.3">
      <c r="A23" s="53">
        <v>2</v>
      </c>
      <c r="B23" s="23" t="s">
        <v>22</v>
      </c>
      <c r="C23" s="69" t="s">
        <v>75</v>
      </c>
      <c r="D23" s="32"/>
      <c r="E23" s="32"/>
      <c r="F23" s="33"/>
      <c r="G23" s="31" t="str">
        <f t="shared" si="1"/>
        <v/>
      </c>
      <c r="H23" s="31" t="str">
        <f t="shared" si="2"/>
        <v/>
      </c>
      <c r="I23" s="34"/>
      <c r="J23" s="31" t="str">
        <f t="shared" si="9"/>
        <v/>
      </c>
      <c r="K23" s="31" t="str">
        <f t="shared" si="10"/>
        <v/>
      </c>
      <c r="L23" s="34"/>
      <c r="M23" s="31" t="str">
        <f t="shared" si="11"/>
        <v/>
      </c>
      <c r="N23" s="31" t="str">
        <f t="shared" si="12"/>
        <v/>
      </c>
      <c r="O23" s="34"/>
      <c r="P23" s="31" t="str">
        <f t="shared" si="6"/>
        <v/>
      </c>
      <c r="Q23" s="31" t="str">
        <f t="shared" si="7"/>
        <v/>
      </c>
      <c r="R23" s="31" t="str">
        <f t="shared" si="13"/>
        <v/>
      </c>
      <c r="S23" s="31" t="str">
        <f t="shared" si="14"/>
        <v/>
      </c>
    </row>
    <row r="24" spans="1:22" s="1" customFormat="1" x14ac:dyDescent="0.3">
      <c r="A24" s="53">
        <v>3</v>
      </c>
      <c r="B24" s="23" t="s">
        <v>23</v>
      </c>
      <c r="C24" s="54" t="s">
        <v>76</v>
      </c>
      <c r="D24" s="32"/>
      <c r="E24" s="32"/>
      <c r="F24" s="33"/>
      <c r="G24" s="31" t="str">
        <f t="shared" si="1"/>
        <v/>
      </c>
      <c r="H24" s="31" t="str">
        <f t="shared" si="2"/>
        <v/>
      </c>
      <c r="I24" s="34"/>
      <c r="J24" s="31" t="str">
        <f t="shared" si="9"/>
        <v/>
      </c>
      <c r="K24" s="31" t="str">
        <f t="shared" si="10"/>
        <v/>
      </c>
      <c r="L24" s="34"/>
      <c r="M24" s="31" t="str">
        <f t="shared" si="11"/>
        <v/>
      </c>
      <c r="N24" s="31" t="str">
        <f t="shared" si="12"/>
        <v/>
      </c>
      <c r="O24" s="34"/>
      <c r="P24" s="31" t="str">
        <f t="shared" si="6"/>
        <v/>
      </c>
      <c r="Q24" s="31" t="str">
        <f t="shared" si="7"/>
        <v/>
      </c>
      <c r="R24" s="31" t="str">
        <f t="shared" si="13"/>
        <v/>
      </c>
      <c r="S24" s="31" t="str">
        <f t="shared" si="14"/>
        <v/>
      </c>
      <c r="T24" s="2"/>
      <c r="U24" s="2"/>
      <c r="V24" s="2"/>
    </row>
    <row r="25" spans="1:22" s="6" customFormat="1" x14ac:dyDescent="0.3">
      <c r="A25" s="53">
        <v>4</v>
      </c>
      <c r="B25" s="23" t="s">
        <v>24</v>
      </c>
      <c r="C25" s="54" t="s">
        <v>77</v>
      </c>
      <c r="D25" s="32"/>
      <c r="E25" s="32"/>
      <c r="F25" s="35"/>
      <c r="G25" s="31" t="str">
        <f t="shared" si="1"/>
        <v/>
      </c>
      <c r="H25" s="31" t="str">
        <f t="shared" si="2"/>
        <v/>
      </c>
      <c r="I25" s="36"/>
      <c r="J25" s="31" t="str">
        <f t="shared" si="9"/>
        <v/>
      </c>
      <c r="K25" s="31" t="str">
        <f t="shared" si="10"/>
        <v/>
      </c>
      <c r="L25" s="36"/>
      <c r="M25" s="31" t="str">
        <f t="shared" si="11"/>
        <v/>
      </c>
      <c r="N25" s="31" t="str">
        <f t="shared" si="12"/>
        <v/>
      </c>
      <c r="O25" s="36"/>
      <c r="P25" s="31" t="str">
        <f t="shared" si="6"/>
        <v/>
      </c>
      <c r="Q25" s="31" t="str">
        <f t="shared" si="7"/>
        <v/>
      </c>
      <c r="R25" s="31" t="str">
        <f t="shared" si="13"/>
        <v/>
      </c>
      <c r="S25" s="31" t="str">
        <f t="shared" si="14"/>
        <v/>
      </c>
      <c r="T25" s="2"/>
      <c r="U25" s="2"/>
      <c r="V25" s="2"/>
    </row>
    <row r="26" spans="1:22" x14ac:dyDescent="0.3">
      <c r="A26" s="55" t="s">
        <v>109</v>
      </c>
      <c r="B26" s="23" t="s">
        <v>110</v>
      </c>
      <c r="C26" s="56" t="s">
        <v>78</v>
      </c>
      <c r="D26" s="40"/>
      <c r="E26" s="40"/>
      <c r="F26" s="37"/>
      <c r="G26" s="38" t="str">
        <f t="shared" si="1"/>
        <v/>
      </c>
      <c r="H26" s="38" t="str">
        <f t="shared" si="2"/>
        <v/>
      </c>
      <c r="I26" s="39"/>
      <c r="J26" s="38" t="str">
        <f t="shared" si="9"/>
        <v/>
      </c>
      <c r="K26" s="38" t="str">
        <f t="shared" si="10"/>
        <v/>
      </c>
      <c r="L26" s="39"/>
      <c r="M26" s="38" t="str">
        <f t="shared" si="11"/>
        <v/>
      </c>
      <c r="N26" s="38" t="str">
        <f t="shared" si="12"/>
        <v/>
      </c>
      <c r="O26" s="39"/>
      <c r="P26" s="38" t="str">
        <f t="shared" si="6"/>
        <v/>
      </c>
      <c r="Q26" s="38" t="str">
        <f t="shared" si="7"/>
        <v/>
      </c>
      <c r="R26" s="38" t="str">
        <f t="shared" si="13"/>
        <v/>
      </c>
      <c r="S26" s="38" t="str">
        <f t="shared" si="14"/>
        <v/>
      </c>
    </row>
    <row r="27" spans="1:22" x14ac:dyDescent="0.3">
      <c r="A27" s="53">
        <v>5</v>
      </c>
      <c r="B27" s="22" t="s">
        <v>25</v>
      </c>
      <c r="C27" s="57" t="s">
        <v>79</v>
      </c>
      <c r="D27" s="32"/>
      <c r="E27" s="32"/>
      <c r="F27" s="33"/>
      <c r="G27" s="31" t="str">
        <f t="shared" si="1"/>
        <v/>
      </c>
      <c r="H27" s="31" t="str">
        <f t="shared" si="2"/>
        <v/>
      </c>
      <c r="I27" s="34"/>
      <c r="J27" s="31" t="str">
        <f t="shared" si="9"/>
        <v/>
      </c>
      <c r="K27" s="31" t="str">
        <f t="shared" si="10"/>
        <v/>
      </c>
      <c r="L27" s="34"/>
      <c r="M27" s="31" t="str">
        <f t="shared" si="11"/>
        <v/>
      </c>
      <c r="N27" s="31" t="str">
        <f t="shared" si="12"/>
        <v/>
      </c>
      <c r="O27" s="34"/>
      <c r="P27" s="31" t="str">
        <f t="shared" si="6"/>
        <v/>
      </c>
      <c r="Q27" s="31" t="str">
        <f t="shared" si="7"/>
        <v/>
      </c>
      <c r="R27" s="31" t="str">
        <f t="shared" si="13"/>
        <v/>
      </c>
      <c r="S27" s="31" t="str">
        <f t="shared" si="14"/>
        <v/>
      </c>
    </row>
    <row r="28" spans="1:22" x14ac:dyDescent="0.3">
      <c r="A28" s="53">
        <v>6</v>
      </c>
      <c r="B28" s="23" t="s">
        <v>26</v>
      </c>
      <c r="C28" s="54" t="s">
        <v>80</v>
      </c>
      <c r="D28" s="32"/>
      <c r="E28" s="32"/>
      <c r="F28" s="33"/>
      <c r="G28" s="31" t="str">
        <f t="shared" si="1"/>
        <v/>
      </c>
      <c r="H28" s="31" t="str">
        <f t="shared" si="2"/>
        <v/>
      </c>
      <c r="I28" s="34"/>
      <c r="J28" s="31" t="str">
        <f t="shared" si="9"/>
        <v/>
      </c>
      <c r="K28" s="31" t="str">
        <f t="shared" si="10"/>
        <v/>
      </c>
      <c r="L28" s="34"/>
      <c r="M28" s="31" t="str">
        <f t="shared" si="11"/>
        <v/>
      </c>
      <c r="N28" s="31" t="str">
        <f t="shared" si="12"/>
        <v/>
      </c>
      <c r="O28" s="34"/>
      <c r="P28" s="31" t="str">
        <f t="shared" si="6"/>
        <v/>
      </c>
      <c r="Q28" s="31" t="str">
        <f t="shared" si="7"/>
        <v/>
      </c>
      <c r="R28" s="31" t="str">
        <f t="shared" si="13"/>
        <v/>
      </c>
      <c r="S28" s="31" t="str">
        <f t="shared" si="14"/>
        <v/>
      </c>
    </row>
    <row r="29" spans="1:22" x14ac:dyDescent="0.3">
      <c r="A29" s="53">
        <v>7</v>
      </c>
      <c r="B29" s="23" t="s">
        <v>28</v>
      </c>
      <c r="C29" s="54" t="s">
        <v>81</v>
      </c>
      <c r="D29" s="32"/>
      <c r="E29" s="32"/>
      <c r="F29" s="33"/>
      <c r="G29" s="31" t="str">
        <f t="shared" si="1"/>
        <v/>
      </c>
      <c r="H29" s="31" t="str">
        <f t="shared" si="2"/>
        <v/>
      </c>
      <c r="I29" s="34"/>
      <c r="J29" s="31" t="str">
        <f t="shared" si="9"/>
        <v/>
      </c>
      <c r="K29" s="31" t="str">
        <f t="shared" si="10"/>
        <v/>
      </c>
      <c r="L29" s="34"/>
      <c r="M29" s="31" t="str">
        <f t="shared" si="11"/>
        <v/>
      </c>
      <c r="N29" s="31" t="str">
        <f t="shared" si="12"/>
        <v/>
      </c>
      <c r="O29" s="34"/>
      <c r="P29" s="31" t="str">
        <f t="shared" si="6"/>
        <v/>
      </c>
      <c r="Q29" s="31" t="str">
        <f t="shared" si="7"/>
        <v/>
      </c>
      <c r="R29" s="31" t="str">
        <f t="shared" si="13"/>
        <v/>
      </c>
      <c r="S29" s="31" t="str">
        <f t="shared" si="14"/>
        <v/>
      </c>
    </row>
    <row r="30" spans="1:22" x14ac:dyDescent="0.3">
      <c r="A30" s="53">
        <v>8</v>
      </c>
      <c r="B30" s="23" t="s">
        <v>30</v>
      </c>
      <c r="C30" s="54" t="s">
        <v>82</v>
      </c>
      <c r="D30" s="32"/>
      <c r="E30" s="32"/>
      <c r="F30" s="33"/>
      <c r="G30" s="31" t="str">
        <f t="shared" si="1"/>
        <v/>
      </c>
      <c r="H30" s="31" t="str">
        <f t="shared" si="2"/>
        <v/>
      </c>
      <c r="I30" s="34"/>
      <c r="J30" s="31" t="str">
        <f t="shared" si="9"/>
        <v/>
      </c>
      <c r="K30" s="31" t="str">
        <f t="shared" si="10"/>
        <v/>
      </c>
      <c r="L30" s="34"/>
      <c r="M30" s="31" t="str">
        <f t="shared" si="11"/>
        <v/>
      </c>
      <c r="N30" s="31" t="str">
        <f t="shared" si="12"/>
        <v/>
      </c>
      <c r="O30" s="34"/>
      <c r="P30" s="31" t="str">
        <f t="shared" si="6"/>
        <v/>
      </c>
      <c r="Q30" s="31" t="str">
        <f t="shared" si="7"/>
        <v/>
      </c>
      <c r="R30" s="31" t="str">
        <f t="shared" si="13"/>
        <v/>
      </c>
      <c r="S30" s="31" t="str">
        <f t="shared" si="14"/>
        <v/>
      </c>
    </row>
    <row r="31" spans="1:22" x14ac:dyDescent="0.3">
      <c r="A31" s="55" t="s">
        <v>109</v>
      </c>
      <c r="B31" s="22" t="s">
        <v>111</v>
      </c>
      <c r="C31" s="58" t="s">
        <v>78</v>
      </c>
      <c r="D31" s="40"/>
      <c r="E31" s="40"/>
      <c r="F31" s="37"/>
      <c r="G31" s="38" t="str">
        <f t="shared" si="1"/>
        <v/>
      </c>
      <c r="H31" s="38" t="str">
        <f t="shared" si="2"/>
        <v/>
      </c>
      <c r="I31" s="39"/>
      <c r="J31" s="38" t="str">
        <f t="shared" si="9"/>
        <v/>
      </c>
      <c r="K31" s="38" t="str">
        <f t="shared" si="10"/>
        <v/>
      </c>
      <c r="L31" s="39"/>
      <c r="M31" s="38" t="str">
        <f t="shared" si="11"/>
        <v/>
      </c>
      <c r="N31" s="38" t="str">
        <f t="shared" si="12"/>
        <v/>
      </c>
      <c r="O31" s="39"/>
      <c r="P31" s="38" t="str">
        <f t="shared" si="6"/>
        <v/>
      </c>
      <c r="Q31" s="38" t="str">
        <f t="shared" si="7"/>
        <v/>
      </c>
      <c r="R31" s="38" t="str">
        <f t="shared" si="13"/>
        <v/>
      </c>
      <c r="S31" s="38" t="str">
        <f t="shared" si="14"/>
        <v/>
      </c>
    </row>
    <row r="32" spans="1:22" x14ac:dyDescent="0.3">
      <c r="A32" s="53">
        <v>9</v>
      </c>
      <c r="B32" s="23" t="s">
        <v>31</v>
      </c>
      <c r="C32" s="54" t="s">
        <v>83</v>
      </c>
      <c r="D32" s="32"/>
      <c r="E32" s="32"/>
      <c r="F32" s="33"/>
      <c r="G32" s="31" t="str">
        <f t="shared" si="1"/>
        <v/>
      </c>
      <c r="H32" s="31" t="str">
        <f t="shared" si="2"/>
        <v/>
      </c>
      <c r="I32" s="34"/>
      <c r="J32" s="31" t="str">
        <f t="shared" si="9"/>
        <v/>
      </c>
      <c r="K32" s="31" t="str">
        <f t="shared" si="10"/>
        <v/>
      </c>
      <c r="L32" s="34"/>
      <c r="M32" s="31" t="str">
        <f t="shared" si="11"/>
        <v/>
      </c>
      <c r="N32" s="31" t="str">
        <f t="shared" si="12"/>
        <v/>
      </c>
      <c r="O32" s="34"/>
      <c r="P32" s="31" t="str">
        <f t="shared" si="6"/>
        <v/>
      </c>
      <c r="Q32" s="31" t="str">
        <f t="shared" si="7"/>
        <v/>
      </c>
      <c r="R32" s="31" t="str">
        <f t="shared" si="13"/>
        <v/>
      </c>
      <c r="S32" s="31" t="str">
        <f t="shared" si="14"/>
        <v/>
      </c>
    </row>
    <row r="33" spans="1:23" x14ac:dyDescent="0.3">
      <c r="A33" s="53">
        <v>10</v>
      </c>
      <c r="B33" s="23" t="s">
        <v>32</v>
      </c>
      <c r="C33" s="57" t="s">
        <v>84</v>
      </c>
      <c r="D33" s="32"/>
      <c r="E33" s="32"/>
      <c r="F33" s="33"/>
      <c r="G33" s="31" t="str">
        <f t="shared" si="1"/>
        <v/>
      </c>
      <c r="H33" s="31" t="str">
        <f t="shared" si="2"/>
        <v/>
      </c>
      <c r="I33" s="34"/>
      <c r="J33" s="31" t="str">
        <f t="shared" si="9"/>
        <v/>
      </c>
      <c r="K33" s="31" t="str">
        <f t="shared" si="10"/>
        <v/>
      </c>
      <c r="L33" s="34"/>
      <c r="M33" s="31" t="str">
        <f t="shared" si="11"/>
        <v/>
      </c>
      <c r="N33" s="31" t="str">
        <f t="shared" si="12"/>
        <v/>
      </c>
      <c r="O33" s="34"/>
      <c r="P33" s="31" t="str">
        <f t="shared" si="6"/>
        <v/>
      </c>
      <c r="Q33" s="31" t="str">
        <f t="shared" si="7"/>
        <v/>
      </c>
      <c r="R33" s="31" t="str">
        <f t="shared" si="13"/>
        <v/>
      </c>
      <c r="S33" s="31" t="str">
        <f t="shared" si="14"/>
        <v/>
      </c>
    </row>
    <row r="34" spans="1:23" x14ac:dyDescent="0.3">
      <c r="A34" s="53">
        <v>11</v>
      </c>
      <c r="B34" s="22" t="s">
        <v>33</v>
      </c>
      <c r="C34" s="54" t="s">
        <v>85</v>
      </c>
      <c r="D34" s="32"/>
      <c r="E34" s="32"/>
      <c r="F34" s="33"/>
      <c r="G34" s="31" t="str">
        <f t="shared" si="1"/>
        <v/>
      </c>
      <c r="H34" s="31" t="str">
        <f t="shared" si="2"/>
        <v/>
      </c>
      <c r="I34" s="34"/>
      <c r="J34" s="31" t="str">
        <f t="shared" si="9"/>
        <v/>
      </c>
      <c r="K34" s="31" t="str">
        <f t="shared" si="10"/>
        <v/>
      </c>
      <c r="L34" s="34"/>
      <c r="M34" s="31" t="str">
        <f t="shared" si="11"/>
        <v/>
      </c>
      <c r="N34" s="31" t="str">
        <f t="shared" si="12"/>
        <v/>
      </c>
      <c r="O34" s="34"/>
      <c r="P34" s="31" t="str">
        <f t="shared" si="6"/>
        <v/>
      </c>
      <c r="Q34" s="31" t="str">
        <f t="shared" si="7"/>
        <v/>
      </c>
      <c r="R34" s="31" t="str">
        <f t="shared" si="13"/>
        <v/>
      </c>
      <c r="S34" s="31" t="str">
        <f t="shared" si="14"/>
        <v/>
      </c>
    </row>
    <row r="35" spans="1:23" ht="31.2" x14ac:dyDescent="0.3">
      <c r="A35" s="58" t="s">
        <v>109</v>
      </c>
      <c r="B35" s="23" t="s">
        <v>34</v>
      </c>
      <c r="C35" s="70" t="s">
        <v>86</v>
      </c>
      <c r="D35" s="32"/>
      <c r="E35" s="32"/>
      <c r="F35" s="33"/>
      <c r="G35" s="31" t="str">
        <f t="shared" si="1"/>
        <v/>
      </c>
      <c r="H35" s="31" t="str">
        <f t="shared" si="2"/>
        <v/>
      </c>
      <c r="I35" s="34"/>
      <c r="J35" s="31" t="str">
        <f t="shared" si="9"/>
        <v/>
      </c>
      <c r="K35" s="31" t="str">
        <f t="shared" si="10"/>
        <v/>
      </c>
      <c r="L35" s="34"/>
      <c r="M35" s="31" t="str">
        <f t="shared" si="11"/>
        <v/>
      </c>
      <c r="N35" s="31" t="str">
        <f t="shared" si="12"/>
        <v/>
      </c>
      <c r="O35" s="34"/>
      <c r="P35" s="31" t="str">
        <f t="shared" si="6"/>
        <v/>
      </c>
      <c r="Q35" s="31" t="str">
        <f t="shared" si="7"/>
        <v/>
      </c>
      <c r="R35" s="31" t="str">
        <f t="shared" si="13"/>
        <v/>
      </c>
      <c r="S35" s="31" t="str">
        <f t="shared" si="14"/>
        <v/>
      </c>
    </row>
    <row r="36" spans="1:23" x14ac:dyDescent="0.3">
      <c r="A36" s="53">
        <v>12</v>
      </c>
      <c r="B36" s="23" t="s">
        <v>35</v>
      </c>
      <c r="C36" s="57" t="s">
        <v>87</v>
      </c>
      <c r="D36" s="32"/>
      <c r="E36" s="32"/>
      <c r="F36" s="33"/>
      <c r="G36" s="31" t="str">
        <f t="shared" si="1"/>
        <v/>
      </c>
      <c r="H36" s="31" t="str">
        <f t="shared" si="2"/>
        <v/>
      </c>
      <c r="I36" s="34"/>
      <c r="J36" s="31" t="str">
        <f t="shared" si="9"/>
        <v/>
      </c>
      <c r="K36" s="31" t="str">
        <f t="shared" si="10"/>
        <v/>
      </c>
      <c r="L36" s="34"/>
      <c r="M36" s="31" t="str">
        <f t="shared" si="11"/>
        <v/>
      </c>
      <c r="N36" s="31" t="str">
        <f t="shared" si="12"/>
        <v/>
      </c>
      <c r="O36" s="34"/>
      <c r="P36" s="31" t="str">
        <f t="shared" si="6"/>
        <v/>
      </c>
      <c r="Q36" s="31" t="str">
        <f t="shared" si="7"/>
        <v/>
      </c>
      <c r="R36" s="31" t="str">
        <f t="shared" si="13"/>
        <v/>
      </c>
      <c r="S36" s="31" t="str">
        <f t="shared" si="14"/>
        <v/>
      </c>
    </row>
    <row r="37" spans="1:23" x14ac:dyDescent="0.3">
      <c r="A37" s="53">
        <v>13</v>
      </c>
      <c r="B37" s="23" t="s">
        <v>36</v>
      </c>
      <c r="C37" s="57" t="s">
        <v>88</v>
      </c>
      <c r="D37" s="32"/>
      <c r="E37" s="32"/>
      <c r="F37" s="33"/>
      <c r="G37" s="31" t="str">
        <f t="shared" si="1"/>
        <v/>
      </c>
      <c r="H37" s="31" t="str">
        <f t="shared" si="2"/>
        <v/>
      </c>
      <c r="I37" s="34"/>
      <c r="J37" s="31" t="str">
        <f t="shared" si="9"/>
        <v/>
      </c>
      <c r="K37" s="31" t="str">
        <f t="shared" si="10"/>
        <v/>
      </c>
      <c r="L37" s="34"/>
      <c r="M37" s="31" t="str">
        <f t="shared" si="11"/>
        <v/>
      </c>
      <c r="N37" s="31" t="str">
        <f t="shared" si="12"/>
        <v/>
      </c>
      <c r="O37" s="34"/>
      <c r="P37" s="31" t="str">
        <f t="shared" si="6"/>
        <v/>
      </c>
      <c r="Q37" s="31" t="str">
        <f t="shared" si="7"/>
        <v/>
      </c>
      <c r="R37" s="31" t="str">
        <f t="shared" si="13"/>
        <v/>
      </c>
      <c r="S37" s="31" t="str">
        <f t="shared" si="14"/>
        <v/>
      </c>
    </row>
    <row r="38" spans="1:23" x14ac:dyDescent="0.3">
      <c r="A38" s="55" t="s">
        <v>109</v>
      </c>
      <c r="B38" s="23" t="s">
        <v>112</v>
      </c>
      <c r="C38" s="56" t="s">
        <v>78</v>
      </c>
      <c r="D38" s="40"/>
      <c r="E38" s="40"/>
      <c r="F38" s="37"/>
      <c r="G38" s="38" t="str">
        <f t="shared" si="1"/>
        <v/>
      </c>
      <c r="H38" s="38" t="str">
        <f t="shared" si="2"/>
        <v/>
      </c>
      <c r="I38" s="39"/>
      <c r="J38" s="38" t="str">
        <f t="shared" si="9"/>
        <v/>
      </c>
      <c r="K38" s="38" t="str">
        <f t="shared" si="10"/>
        <v/>
      </c>
      <c r="L38" s="39"/>
      <c r="M38" s="38" t="str">
        <f t="shared" si="11"/>
        <v/>
      </c>
      <c r="N38" s="38" t="str">
        <f t="shared" si="12"/>
        <v/>
      </c>
      <c r="O38" s="39"/>
      <c r="P38" s="38" t="str">
        <f t="shared" si="6"/>
        <v/>
      </c>
      <c r="Q38" s="38" t="str">
        <f t="shared" si="7"/>
        <v/>
      </c>
      <c r="R38" s="38" t="str">
        <f t="shared" si="13"/>
        <v/>
      </c>
      <c r="S38" s="38" t="str">
        <f t="shared" si="14"/>
        <v/>
      </c>
    </row>
    <row r="39" spans="1:23" x14ac:dyDescent="0.3">
      <c r="A39" s="53">
        <v>14</v>
      </c>
      <c r="B39" s="23" t="s">
        <v>37</v>
      </c>
      <c r="C39" s="57" t="s">
        <v>89</v>
      </c>
      <c r="D39" s="32"/>
      <c r="E39" s="32"/>
      <c r="F39" s="33"/>
      <c r="G39" s="31" t="str">
        <f t="shared" si="1"/>
        <v/>
      </c>
      <c r="H39" s="31" t="str">
        <f t="shared" si="2"/>
        <v/>
      </c>
      <c r="I39" s="34"/>
      <c r="J39" s="31" t="str">
        <f t="shared" si="9"/>
        <v/>
      </c>
      <c r="K39" s="31" t="str">
        <f t="shared" si="10"/>
        <v/>
      </c>
      <c r="L39" s="34"/>
      <c r="M39" s="31" t="str">
        <f t="shared" si="11"/>
        <v/>
      </c>
      <c r="N39" s="31" t="str">
        <f t="shared" si="12"/>
        <v/>
      </c>
      <c r="O39" s="34"/>
      <c r="P39" s="31" t="str">
        <f t="shared" si="6"/>
        <v/>
      </c>
      <c r="Q39" s="31" t="str">
        <f t="shared" si="7"/>
        <v/>
      </c>
      <c r="R39" s="31" t="str">
        <f t="shared" si="13"/>
        <v/>
      </c>
      <c r="S39" s="31" t="str">
        <f t="shared" si="14"/>
        <v/>
      </c>
    </row>
    <row r="40" spans="1:23" x14ac:dyDescent="0.3">
      <c r="A40" s="53">
        <v>15</v>
      </c>
      <c r="B40" s="23" t="s">
        <v>38</v>
      </c>
      <c r="C40" s="54" t="s">
        <v>90</v>
      </c>
      <c r="D40" s="32"/>
      <c r="E40" s="32"/>
      <c r="F40" s="33"/>
      <c r="G40" s="31" t="str">
        <f t="shared" si="1"/>
        <v/>
      </c>
      <c r="H40" s="31" t="str">
        <f t="shared" si="2"/>
        <v/>
      </c>
      <c r="I40" s="34"/>
      <c r="J40" s="31" t="str">
        <f t="shared" si="9"/>
        <v/>
      </c>
      <c r="K40" s="31" t="str">
        <f t="shared" si="10"/>
        <v/>
      </c>
      <c r="L40" s="34"/>
      <c r="M40" s="31" t="str">
        <f t="shared" si="11"/>
        <v/>
      </c>
      <c r="N40" s="31" t="str">
        <f t="shared" si="12"/>
        <v/>
      </c>
      <c r="O40" s="34"/>
      <c r="P40" s="31" t="str">
        <f t="shared" si="6"/>
        <v/>
      </c>
      <c r="Q40" s="31" t="str">
        <f t="shared" si="7"/>
        <v/>
      </c>
      <c r="R40" s="31" t="str">
        <f t="shared" si="13"/>
        <v/>
      </c>
      <c r="S40" s="31" t="str">
        <f t="shared" si="14"/>
        <v/>
      </c>
    </row>
    <row r="41" spans="1:23" x14ac:dyDescent="0.3">
      <c r="A41" s="55" t="s">
        <v>109</v>
      </c>
      <c r="B41" s="22" t="s">
        <v>39</v>
      </c>
      <c r="C41" s="59" t="s">
        <v>91</v>
      </c>
      <c r="D41" s="40"/>
      <c r="E41" s="40"/>
      <c r="F41" s="37"/>
      <c r="G41" s="38" t="str">
        <f t="shared" si="1"/>
        <v/>
      </c>
      <c r="H41" s="38" t="str">
        <f t="shared" si="2"/>
        <v/>
      </c>
      <c r="I41" s="39"/>
      <c r="J41" s="38" t="str">
        <f t="shared" si="9"/>
        <v/>
      </c>
      <c r="K41" s="38" t="str">
        <f t="shared" si="10"/>
        <v/>
      </c>
      <c r="L41" s="39"/>
      <c r="M41" s="38" t="str">
        <f t="shared" si="11"/>
        <v/>
      </c>
      <c r="N41" s="38" t="str">
        <f t="shared" si="12"/>
        <v/>
      </c>
      <c r="O41" s="39"/>
      <c r="P41" s="38" t="str">
        <f t="shared" si="6"/>
        <v/>
      </c>
      <c r="Q41" s="38" t="str">
        <f t="shared" si="7"/>
        <v/>
      </c>
      <c r="R41" s="38" t="str">
        <f t="shared" si="13"/>
        <v/>
      </c>
      <c r="S41" s="38" t="str">
        <f t="shared" si="14"/>
        <v/>
      </c>
    </row>
    <row r="42" spans="1:23" x14ac:dyDescent="0.3">
      <c r="A42" s="55"/>
      <c r="B42" s="22" t="s">
        <v>40</v>
      </c>
      <c r="C42" s="58" t="s">
        <v>92</v>
      </c>
      <c r="D42" s="40"/>
      <c r="E42" s="40"/>
      <c r="F42" s="37"/>
      <c r="G42" s="38" t="str">
        <f t="shared" si="1"/>
        <v/>
      </c>
      <c r="H42" s="38" t="str">
        <f t="shared" si="2"/>
        <v/>
      </c>
      <c r="I42" s="39"/>
      <c r="J42" s="38" t="str">
        <f t="shared" si="9"/>
        <v/>
      </c>
      <c r="K42" s="38" t="str">
        <f t="shared" si="10"/>
        <v/>
      </c>
      <c r="L42" s="39"/>
      <c r="M42" s="38" t="str">
        <f t="shared" si="11"/>
        <v/>
      </c>
      <c r="N42" s="38" t="str">
        <f t="shared" si="12"/>
        <v/>
      </c>
      <c r="O42" s="39"/>
      <c r="P42" s="38" t="str">
        <f t="shared" si="6"/>
        <v/>
      </c>
      <c r="Q42" s="38" t="str">
        <f t="shared" si="7"/>
        <v/>
      </c>
      <c r="R42" s="38" t="str">
        <f t="shared" si="13"/>
        <v/>
      </c>
      <c r="S42" s="38" t="str">
        <f t="shared" si="14"/>
        <v/>
      </c>
    </row>
    <row r="43" spans="1:23" x14ac:dyDescent="0.3">
      <c r="A43" s="55"/>
      <c r="B43" s="22" t="s">
        <v>41</v>
      </c>
      <c r="C43" s="58" t="s">
        <v>93</v>
      </c>
      <c r="D43" s="40"/>
      <c r="E43" s="40"/>
      <c r="F43" s="37"/>
      <c r="G43" s="38" t="str">
        <f t="shared" si="1"/>
        <v/>
      </c>
      <c r="H43" s="38" t="str">
        <f t="shared" si="2"/>
        <v/>
      </c>
      <c r="I43" s="39"/>
      <c r="J43" s="38" t="str">
        <f t="shared" si="9"/>
        <v/>
      </c>
      <c r="K43" s="38" t="str">
        <f t="shared" si="10"/>
        <v/>
      </c>
      <c r="L43" s="39"/>
      <c r="M43" s="38" t="str">
        <f t="shared" si="11"/>
        <v/>
      </c>
      <c r="N43" s="38" t="str">
        <f t="shared" si="12"/>
        <v/>
      </c>
      <c r="O43" s="39"/>
      <c r="P43" s="38" t="str">
        <f t="shared" si="6"/>
        <v/>
      </c>
      <c r="Q43" s="38" t="str">
        <f t="shared" si="7"/>
        <v/>
      </c>
      <c r="R43" s="38" t="str">
        <f t="shared" si="13"/>
        <v/>
      </c>
      <c r="S43" s="38" t="str">
        <f t="shared" si="14"/>
        <v/>
      </c>
    </row>
    <row r="44" spans="1:23" x14ac:dyDescent="0.3">
      <c r="A44" s="60"/>
      <c r="B44" s="22" t="s">
        <v>42</v>
      </c>
      <c r="C44" s="70" t="s">
        <v>94</v>
      </c>
      <c r="D44" s="40"/>
      <c r="E44" s="40"/>
      <c r="F44" s="37"/>
      <c r="G44" s="38" t="str">
        <f t="shared" si="1"/>
        <v/>
      </c>
      <c r="H44" s="38" t="str">
        <f t="shared" si="2"/>
        <v/>
      </c>
      <c r="I44" s="39"/>
      <c r="J44" s="38" t="str">
        <f t="shared" si="9"/>
        <v/>
      </c>
      <c r="K44" s="38" t="str">
        <f t="shared" si="10"/>
        <v/>
      </c>
      <c r="L44" s="39"/>
      <c r="M44" s="38" t="str">
        <f t="shared" si="11"/>
        <v/>
      </c>
      <c r="N44" s="38" t="str">
        <f t="shared" si="12"/>
        <v/>
      </c>
      <c r="O44" s="39"/>
      <c r="P44" s="38" t="str">
        <f t="shared" si="6"/>
        <v/>
      </c>
      <c r="Q44" s="38" t="str">
        <f t="shared" si="7"/>
        <v/>
      </c>
      <c r="R44" s="38" t="str">
        <f t="shared" si="13"/>
        <v/>
      </c>
      <c r="S44" s="38" t="str">
        <f t="shared" si="14"/>
        <v/>
      </c>
    </row>
    <row r="45" spans="1:23" x14ac:dyDescent="0.3">
      <c r="A45" s="52" t="s">
        <v>27</v>
      </c>
      <c r="B45" s="22" t="s">
        <v>43</v>
      </c>
      <c r="C45" s="61" t="s">
        <v>95</v>
      </c>
      <c r="D45" s="30">
        <f>SUM(D46:D59)-D56</f>
        <v>0</v>
      </c>
      <c r="E45" s="30">
        <f t="shared" ref="E45:F45" si="25">SUM(E46:E59)-E56</f>
        <v>0</v>
      </c>
      <c r="F45" s="30">
        <f t="shared" si="25"/>
        <v>0</v>
      </c>
      <c r="G45" s="31" t="str">
        <f t="shared" si="1"/>
        <v/>
      </c>
      <c r="H45" s="31" t="str">
        <f t="shared" si="2"/>
        <v/>
      </c>
      <c r="I45" s="30">
        <f t="shared" ref="I45" si="26">SUM(I46:I59)-I56</f>
        <v>0</v>
      </c>
      <c r="J45" s="31" t="str">
        <f t="shared" si="9"/>
        <v/>
      </c>
      <c r="K45" s="31" t="str">
        <f t="shared" si="10"/>
        <v/>
      </c>
      <c r="L45" s="30">
        <f t="shared" ref="L45" si="27">SUM(L46:L59)-L56</f>
        <v>0</v>
      </c>
      <c r="M45" s="31" t="str">
        <f t="shared" si="11"/>
        <v/>
      </c>
      <c r="N45" s="31" t="str">
        <f t="shared" si="12"/>
        <v/>
      </c>
      <c r="O45" s="30">
        <f t="shared" ref="O45" si="28">SUM(O46:O59)-O56</f>
        <v>0</v>
      </c>
      <c r="P45" s="31" t="str">
        <f t="shared" si="6"/>
        <v/>
      </c>
      <c r="Q45" s="31" t="str">
        <f t="shared" si="7"/>
        <v/>
      </c>
      <c r="R45" s="31" t="str">
        <f t="shared" si="13"/>
        <v/>
      </c>
      <c r="S45" s="31" t="str">
        <f t="shared" si="14"/>
        <v/>
      </c>
    </row>
    <row r="46" spans="1:23" s="6" customFormat="1" x14ac:dyDescent="0.3">
      <c r="A46" s="53">
        <v>1</v>
      </c>
      <c r="B46" s="22" t="s">
        <v>44</v>
      </c>
      <c r="C46" s="54" t="s">
        <v>74</v>
      </c>
      <c r="D46" s="32"/>
      <c r="E46" s="32"/>
      <c r="F46" s="33"/>
      <c r="G46" s="31" t="str">
        <f t="shared" si="1"/>
        <v/>
      </c>
      <c r="H46" s="31" t="str">
        <f t="shared" si="2"/>
        <v/>
      </c>
      <c r="I46" s="34"/>
      <c r="J46" s="31" t="str">
        <f t="shared" si="9"/>
        <v/>
      </c>
      <c r="K46" s="31" t="str">
        <f t="shared" si="10"/>
        <v/>
      </c>
      <c r="L46" s="34"/>
      <c r="M46" s="31" t="str">
        <f t="shared" si="11"/>
        <v/>
      </c>
      <c r="N46" s="31" t="str">
        <f t="shared" si="12"/>
        <v/>
      </c>
      <c r="O46" s="34"/>
      <c r="P46" s="31" t="str">
        <f t="shared" si="6"/>
        <v/>
      </c>
      <c r="Q46" s="31" t="str">
        <f t="shared" si="7"/>
        <v/>
      </c>
      <c r="R46" s="31" t="str">
        <f t="shared" si="13"/>
        <v/>
      </c>
      <c r="S46" s="31" t="str">
        <f t="shared" si="14"/>
        <v/>
      </c>
      <c r="T46" s="2"/>
      <c r="U46" s="2"/>
      <c r="V46" s="2"/>
      <c r="W46" s="2"/>
    </row>
    <row r="47" spans="1:23" x14ac:dyDescent="0.3">
      <c r="A47" s="53">
        <v>2</v>
      </c>
      <c r="B47" s="22" t="s">
        <v>45</v>
      </c>
      <c r="C47" s="69" t="s">
        <v>75</v>
      </c>
      <c r="D47" s="32"/>
      <c r="E47" s="32"/>
      <c r="F47" s="33"/>
      <c r="G47" s="31" t="str">
        <f t="shared" si="1"/>
        <v/>
      </c>
      <c r="H47" s="31" t="str">
        <f t="shared" si="2"/>
        <v/>
      </c>
      <c r="I47" s="34"/>
      <c r="J47" s="31" t="str">
        <f t="shared" si="9"/>
        <v/>
      </c>
      <c r="K47" s="31" t="str">
        <f t="shared" si="10"/>
        <v/>
      </c>
      <c r="L47" s="34"/>
      <c r="M47" s="31" t="str">
        <f t="shared" si="11"/>
        <v/>
      </c>
      <c r="N47" s="31" t="str">
        <f t="shared" si="12"/>
        <v/>
      </c>
      <c r="O47" s="34"/>
      <c r="P47" s="31" t="str">
        <f t="shared" si="6"/>
        <v/>
      </c>
      <c r="Q47" s="31" t="str">
        <f t="shared" si="7"/>
        <v/>
      </c>
      <c r="R47" s="31" t="str">
        <f t="shared" si="13"/>
        <v/>
      </c>
      <c r="S47" s="31" t="str">
        <f t="shared" si="14"/>
        <v/>
      </c>
    </row>
    <row r="48" spans="1:23" x14ac:dyDescent="0.3">
      <c r="A48" s="53">
        <v>3</v>
      </c>
      <c r="B48" s="22" t="s">
        <v>46</v>
      </c>
      <c r="C48" s="54" t="s">
        <v>76</v>
      </c>
      <c r="D48" s="32"/>
      <c r="E48" s="32"/>
      <c r="F48" s="33"/>
      <c r="G48" s="31" t="str">
        <f t="shared" si="1"/>
        <v/>
      </c>
      <c r="H48" s="31" t="str">
        <f t="shared" si="2"/>
        <v/>
      </c>
      <c r="I48" s="34"/>
      <c r="J48" s="31" t="str">
        <f t="shared" si="9"/>
        <v/>
      </c>
      <c r="K48" s="31" t="str">
        <f t="shared" si="10"/>
        <v/>
      </c>
      <c r="L48" s="34"/>
      <c r="M48" s="31" t="str">
        <f t="shared" si="11"/>
        <v/>
      </c>
      <c r="N48" s="31" t="str">
        <f t="shared" si="12"/>
        <v/>
      </c>
      <c r="O48" s="34"/>
      <c r="P48" s="31" t="str">
        <f t="shared" si="6"/>
        <v/>
      </c>
      <c r="Q48" s="31" t="str">
        <f t="shared" si="7"/>
        <v/>
      </c>
      <c r="R48" s="31" t="str">
        <f t="shared" si="13"/>
        <v/>
      </c>
      <c r="S48" s="31" t="str">
        <f t="shared" si="14"/>
        <v/>
      </c>
    </row>
    <row r="49" spans="1:22" x14ac:dyDescent="0.3">
      <c r="A49" s="53">
        <v>4</v>
      </c>
      <c r="B49" s="22" t="s">
        <v>47</v>
      </c>
      <c r="C49" s="54" t="s">
        <v>77</v>
      </c>
      <c r="D49" s="32"/>
      <c r="E49" s="32"/>
      <c r="F49" s="33"/>
      <c r="G49" s="31" t="str">
        <f t="shared" si="1"/>
        <v/>
      </c>
      <c r="H49" s="31" t="str">
        <f t="shared" si="2"/>
        <v/>
      </c>
      <c r="I49" s="34"/>
      <c r="J49" s="31" t="str">
        <f t="shared" si="9"/>
        <v/>
      </c>
      <c r="K49" s="31" t="str">
        <f t="shared" si="10"/>
        <v/>
      </c>
      <c r="L49" s="34"/>
      <c r="M49" s="31" t="str">
        <f t="shared" si="11"/>
        <v/>
      </c>
      <c r="N49" s="31" t="str">
        <f t="shared" si="12"/>
        <v/>
      </c>
      <c r="O49" s="34"/>
      <c r="P49" s="31" t="str">
        <f t="shared" si="6"/>
        <v/>
      </c>
      <c r="Q49" s="31" t="str">
        <f t="shared" si="7"/>
        <v/>
      </c>
      <c r="R49" s="31" t="str">
        <f t="shared" si="13"/>
        <v/>
      </c>
      <c r="S49" s="31" t="str">
        <f t="shared" si="14"/>
        <v/>
      </c>
    </row>
    <row r="50" spans="1:22" x14ac:dyDescent="0.3">
      <c r="A50" s="53">
        <v>5</v>
      </c>
      <c r="B50" s="22" t="s">
        <v>48</v>
      </c>
      <c r="C50" s="57" t="s">
        <v>79</v>
      </c>
      <c r="D50" s="32"/>
      <c r="E50" s="32"/>
      <c r="F50" s="33"/>
      <c r="G50" s="31" t="str">
        <f t="shared" si="1"/>
        <v/>
      </c>
      <c r="H50" s="31" t="str">
        <f t="shared" si="2"/>
        <v/>
      </c>
      <c r="I50" s="34"/>
      <c r="J50" s="31" t="str">
        <f t="shared" si="9"/>
        <v/>
      </c>
      <c r="K50" s="31" t="str">
        <f t="shared" si="10"/>
        <v/>
      </c>
      <c r="L50" s="34"/>
      <c r="M50" s="31" t="str">
        <f t="shared" si="11"/>
        <v/>
      </c>
      <c r="N50" s="31" t="str">
        <f t="shared" si="12"/>
        <v/>
      </c>
      <c r="O50" s="34"/>
      <c r="P50" s="31" t="str">
        <f t="shared" si="6"/>
        <v/>
      </c>
      <c r="Q50" s="31" t="str">
        <f t="shared" si="7"/>
        <v/>
      </c>
      <c r="R50" s="31" t="str">
        <f t="shared" si="13"/>
        <v/>
      </c>
      <c r="S50" s="31" t="str">
        <f t="shared" si="14"/>
        <v/>
      </c>
    </row>
    <row r="51" spans="1:22" x14ac:dyDescent="0.3">
      <c r="A51" s="53">
        <v>6</v>
      </c>
      <c r="B51" s="22" t="s">
        <v>49</v>
      </c>
      <c r="C51" s="54" t="s">
        <v>80</v>
      </c>
      <c r="D51" s="32"/>
      <c r="E51" s="32"/>
      <c r="F51" s="33"/>
      <c r="G51" s="31" t="str">
        <f t="shared" si="1"/>
        <v/>
      </c>
      <c r="H51" s="31" t="str">
        <f t="shared" si="2"/>
        <v/>
      </c>
      <c r="I51" s="34"/>
      <c r="J51" s="31" t="str">
        <f t="shared" si="9"/>
        <v/>
      </c>
      <c r="K51" s="31" t="str">
        <f t="shared" si="10"/>
        <v/>
      </c>
      <c r="L51" s="34"/>
      <c r="M51" s="31" t="str">
        <f t="shared" si="11"/>
        <v/>
      </c>
      <c r="N51" s="31" t="str">
        <f t="shared" si="12"/>
        <v/>
      </c>
      <c r="O51" s="34"/>
      <c r="P51" s="31" t="str">
        <f t="shared" si="6"/>
        <v/>
      </c>
      <c r="Q51" s="31" t="str">
        <f t="shared" si="7"/>
        <v/>
      </c>
      <c r="R51" s="31" t="str">
        <f t="shared" si="13"/>
        <v/>
      </c>
      <c r="S51" s="31" t="str">
        <f t="shared" si="14"/>
        <v/>
      </c>
    </row>
    <row r="52" spans="1:22" x14ac:dyDescent="0.3">
      <c r="A52" s="53">
        <v>7</v>
      </c>
      <c r="B52" s="22" t="s">
        <v>50</v>
      </c>
      <c r="C52" s="54" t="s">
        <v>82</v>
      </c>
      <c r="D52" s="32"/>
      <c r="E52" s="32"/>
      <c r="F52" s="33"/>
      <c r="G52" s="31" t="str">
        <f t="shared" si="1"/>
        <v/>
      </c>
      <c r="H52" s="31" t="str">
        <f t="shared" si="2"/>
        <v/>
      </c>
      <c r="I52" s="34"/>
      <c r="J52" s="31" t="str">
        <f t="shared" si="9"/>
        <v/>
      </c>
      <c r="K52" s="31" t="str">
        <f t="shared" si="10"/>
        <v/>
      </c>
      <c r="L52" s="34"/>
      <c r="M52" s="31" t="str">
        <f t="shared" si="11"/>
        <v/>
      </c>
      <c r="N52" s="31" t="str">
        <f t="shared" si="12"/>
        <v/>
      </c>
      <c r="O52" s="34"/>
      <c r="P52" s="31" t="str">
        <f t="shared" si="6"/>
        <v/>
      </c>
      <c r="Q52" s="31" t="str">
        <f t="shared" si="7"/>
        <v/>
      </c>
      <c r="R52" s="31" t="str">
        <f t="shared" si="13"/>
        <v/>
      </c>
      <c r="S52" s="31" t="str">
        <f t="shared" si="14"/>
        <v/>
      </c>
    </row>
    <row r="53" spans="1:22" s="8" customFormat="1" x14ac:dyDescent="0.3">
      <c r="A53" s="53">
        <v>8</v>
      </c>
      <c r="B53" s="22" t="s">
        <v>51</v>
      </c>
      <c r="C53" s="54" t="s">
        <v>83</v>
      </c>
      <c r="D53" s="32"/>
      <c r="E53" s="32"/>
      <c r="F53" s="33"/>
      <c r="G53" s="31" t="str">
        <f t="shared" si="1"/>
        <v/>
      </c>
      <c r="H53" s="31" t="str">
        <f t="shared" si="2"/>
        <v/>
      </c>
      <c r="I53" s="34"/>
      <c r="J53" s="31" t="str">
        <f t="shared" si="9"/>
        <v/>
      </c>
      <c r="K53" s="31" t="str">
        <f t="shared" si="10"/>
        <v/>
      </c>
      <c r="L53" s="34"/>
      <c r="M53" s="31" t="str">
        <f t="shared" si="11"/>
        <v/>
      </c>
      <c r="N53" s="31" t="str">
        <f t="shared" si="12"/>
        <v/>
      </c>
      <c r="O53" s="34"/>
      <c r="P53" s="31" t="str">
        <f t="shared" si="6"/>
        <v/>
      </c>
      <c r="Q53" s="31" t="str">
        <f t="shared" si="7"/>
        <v/>
      </c>
      <c r="R53" s="31" t="str">
        <f t="shared" si="13"/>
        <v/>
      </c>
      <c r="S53" s="31" t="str">
        <f t="shared" si="14"/>
        <v/>
      </c>
      <c r="T53" s="2"/>
      <c r="U53" s="2"/>
      <c r="V53" s="2"/>
    </row>
    <row r="54" spans="1:22" s="8" customFormat="1" x14ac:dyDescent="0.3">
      <c r="A54" s="53">
        <v>9</v>
      </c>
      <c r="B54" s="22" t="s">
        <v>52</v>
      </c>
      <c r="C54" s="54" t="s">
        <v>84</v>
      </c>
      <c r="D54" s="32"/>
      <c r="E54" s="32"/>
      <c r="F54" s="33"/>
      <c r="G54" s="31" t="str">
        <f t="shared" si="1"/>
        <v/>
      </c>
      <c r="H54" s="31" t="str">
        <f t="shared" si="2"/>
        <v/>
      </c>
      <c r="I54" s="34"/>
      <c r="J54" s="31" t="str">
        <f t="shared" si="9"/>
        <v/>
      </c>
      <c r="K54" s="31" t="str">
        <f t="shared" si="10"/>
        <v/>
      </c>
      <c r="L54" s="34"/>
      <c r="M54" s="31" t="str">
        <f t="shared" si="11"/>
        <v/>
      </c>
      <c r="N54" s="31" t="str">
        <f t="shared" si="12"/>
        <v/>
      </c>
      <c r="O54" s="34"/>
      <c r="P54" s="31" t="str">
        <f t="shared" si="6"/>
        <v/>
      </c>
      <c r="Q54" s="31" t="str">
        <f t="shared" si="7"/>
        <v/>
      </c>
      <c r="R54" s="31" t="str">
        <f t="shared" si="13"/>
        <v/>
      </c>
      <c r="S54" s="31" t="str">
        <f t="shared" si="14"/>
        <v/>
      </c>
      <c r="T54" s="2"/>
      <c r="U54" s="2"/>
      <c r="V54" s="2"/>
    </row>
    <row r="55" spans="1:22" s="8" customFormat="1" x14ac:dyDescent="0.3">
      <c r="A55" s="53">
        <v>10</v>
      </c>
      <c r="B55" s="22" t="s">
        <v>53</v>
      </c>
      <c r="C55" s="57" t="s">
        <v>85</v>
      </c>
      <c r="D55" s="32"/>
      <c r="E55" s="32"/>
      <c r="F55" s="33"/>
      <c r="G55" s="31" t="str">
        <f t="shared" si="1"/>
        <v/>
      </c>
      <c r="H55" s="31" t="str">
        <f t="shared" si="2"/>
        <v/>
      </c>
      <c r="I55" s="34"/>
      <c r="J55" s="31" t="str">
        <f t="shared" si="9"/>
        <v/>
      </c>
      <c r="K55" s="31" t="str">
        <f t="shared" si="10"/>
        <v/>
      </c>
      <c r="L55" s="34"/>
      <c r="M55" s="31" t="str">
        <f t="shared" si="11"/>
        <v/>
      </c>
      <c r="N55" s="31" t="str">
        <f t="shared" si="12"/>
        <v/>
      </c>
      <c r="O55" s="34"/>
      <c r="P55" s="31" t="str">
        <f t="shared" si="6"/>
        <v/>
      </c>
      <c r="Q55" s="31" t="str">
        <f t="shared" si="7"/>
        <v/>
      </c>
      <c r="R55" s="31" t="str">
        <f t="shared" si="13"/>
        <v/>
      </c>
      <c r="S55" s="31" t="str">
        <f t="shared" si="14"/>
        <v/>
      </c>
      <c r="T55" s="2"/>
      <c r="U55" s="2"/>
      <c r="V55" s="2"/>
    </row>
    <row r="56" spans="1:22" s="8" customFormat="1" ht="31.2" x14ac:dyDescent="0.3">
      <c r="A56" s="55" t="s">
        <v>109</v>
      </c>
      <c r="B56" s="22" t="s">
        <v>54</v>
      </c>
      <c r="C56" s="58" t="s">
        <v>86</v>
      </c>
      <c r="D56" s="40"/>
      <c r="E56" s="40"/>
      <c r="F56" s="37"/>
      <c r="G56" s="38" t="str">
        <f t="shared" si="1"/>
        <v/>
      </c>
      <c r="H56" s="38" t="str">
        <f t="shared" si="2"/>
        <v/>
      </c>
      <c r="I56" s="39"/>
      <c r="J56" s="38" t="str">
        <f t="shared" si="9"/>
        <v/>
      </c>
      <c r="K56" s="38" t="str">
        <f t="shared" si="10"/>
        <v/>
      </c>
      <c r="L56" s="39"/>
      <c r="M56" s="38" t="str">
        <f t="shared" si="11"/>
        <v/>
      </c>
      <c r="N56" s="38" t="str">
        <f t="shared" si="12"/>
        <v/>
      </c>
      <c r="O56" s="39"/>
      <c r="P56" s="38" t="str">
        <f t="shared" si="6"/>
        <v/>
      </c>
      <c r="Q56" s="38" t="str">
        <f t="shared" si="7"/>
        <v/>
      </c>
      <c r="R56" s="38" t="str">
        <f t="shared" si="13"/>
        <v/>
      </c>
      <c r="S56" s="38" t="str">
        <f t="shared" si="14"/>
        <v/>
      </c>
      <c r="T56" s="2"/>
      <c r="U56" s="2"/>
      <c r="V56" s="2"/>
    </row>
    <row r="57" spans="1:22" s="8" customFormat="1" x14ac:dyDescent="0.3">
      <c r="A57" s="62">
        <v>11</v>
      </c>
      <c r="B57" s="22" t="s">
        <v>55</v>
      </c>
      <c r="C57" s="71" t="s">
        <v>87</v>
      </c>
      <c r="D57" s="32"/>
      <c r="E57" s="32"/>
      <c r="F57" s="33"/>
      <c r="G57" s="31" t="str">
        <f t="shared" si="1"/>
        <v/>
      </c>
      <c r="H57" s="31" t="str">
        <f t="shared" si="2"/>
        <v/>
      </c>
      <c r="I57" s="34"/>
      <c r="J57" s="31" t="str">
        <f t="shared" si="9"/>
        <v/>
      </c>
      <c r="K57" s="31" t="str">
        <f t="shared" si="10"/>
        <v/>
      </c>
      <c r="L57" s="34"/>
      <c r="M57" s="31" t="str">
        <f t="shared" si="11"/>
        <v/>
      </c>
      <c r="N57" s="31" t="str">
        <f t="shared" si="12"/>
        <v/>
      </c>
      <c r="O57" s="34"/>
      <c r="P57" s="31" t="str">
        <f t="shared" si="6"/>
        <v/>
      </c>
      <c r="Q57" s="31" t="str">
        <f t="shared" si="7"/>
        <v/>
      </c>
      <c r="R57" s="31" t="str">
        <f t="shared" si="13"/>
        <v/>
      </c>
      <c r="S57" s="31" t="str">
        <f t="shared" si="14"/>
        <v/>
      </c>
      <c r="T57" s="2"/>
      <c r="U57" s="2"/>
      <c r="V57" s="2"/>
    </row>
    <row r="58" spans="1:22" s="8" customFormat="1" x14ac:dyDescent="0.3">
      <c r="A58" s="53">
        <v>12</v>
      </c>
      <c r="B58" s="22" t="s">
        <v>56</v>
      </c>
      <c r="C58" s="57" t="s">
        <v>88</v>
      </c>
      <c r="D58" s="32"/>
      <c r="E58" s="32"/>
      <c r="F58" s="33"/>
      <c r="G58" s="31" t="str">
        <f t="shared" si="1"/>
        <v/>
      </c>
      <c r="H58" s="31" t="str">
        <f t="shared" si="2"/>
        <v/>
      </c>
      <c r="I58" s="34"/>
      <c r="J58" s="31" t="str">
        <f t="shared" si="9"/>
        <v/>
      </c>
      <c r="K58" s="31" t="str">
        <f t="shared" si="10"/>
        <v/>
      </c>
      <c r="L58" s="34"/>
      <c r="M58" s="31" t="str">
        <f t="shared" si="11"/>
        <v/>
      </c>
      <c r="N58" s="31" t="str">
        <f t="shared" si="12"/>
        <v/>
      </c>
      <c r="O58" s="34"/>
      <c r="P58" s="31" t="str">
        <f t="shared" si="6"/>
        <v/>
      </c>
      <c r="Q58" s="31" t="str">
        <f t="shared" si="7"/>
        <v/>
      </c>
      <c r="R58" s="31" t="str">
        <f t="shared" si="13"/>
        <v/>
      </c>
      <c r="S58" s="31" t="str">
        <f t="shared" si="14"/>
        <v/>
      </c>
      <c r="T58" s="2"/>
      <c r="U58" s="2"/>
      <c r="V58" s="2"/>
    </row>
    <row r="59" spans="1:22" s="6" customFormat="1" x14ac:dyDescent="0.3">
      <c r="A59" s="53">
        <v>13</v>
      </c>
      <c r="B59" s="22" t="s">
        <v>57</v>
      </c>
      <c r="C59" s="54" t="s">
        <v>96</v>
      </c>
      <c r="D59" s="32"/>
      <c r="E59" s="32"/>
      <c r="F59" s="33"/>
      <c r="G59" s="31" t="str">
        <f t="shared" si="1"/>
        <v/>
      </c>
      <c r="H59" s="31" t="str">
        <f t="shared" si="2"/>
        <v/>
      </c>
      <c r="I59" s="34"/>
      <c r="J59" s="31" t="str">
        <f t="shared" si="9"/>
        <v/>
      </c>
      <c r="K59" s="31" t="str">
        <f t="shared" si="10"/>
        <v/>
      </c>
      <c r="L59" s="34"/>
      <c r="M59" s="31" t="str">
        <f t="shared" si="11"/>
        <v/>
      </c>
      <c r="N59" s="31" t="str">
        <f t="shared" si="12"/>
        <v/>
      </c>
      <c r="O59" s="34"/>
      <c r="P59" s="31" t="str">
        <f t="shared" si="6"/>
        <v/>
      </c>
      <c r="Q59" s="31" t="str">
        <f t="shared" si="7"/>
        <v/>
      </c>
      <c r="R59" s="31" t="str">
        <f t="shared" si="13"/>
        <v/>
      </c>
      <c r="S59" s="31" t="str">
        <f t="shared" si="14"/>
        <v/>
      </c>
      <c r="T59" s="2"/>
      <c r="U59" s="2"/>
      <c r="V59" s="2"/>
    </row>
    <row r="60" spans="1:22" s="6" customFormat="1" x14ac:dyDescent="0.3">
      <c r="A60" s="52" t="s">
        <v>128</v>
      </c>
      <c r="B60" s="22" t="s">
        <v>137</v>
      </c>
      <c r="C60" s="61" t="s">
        <v>129</v>
      </c>
      <c r="D60" s="32"/>
      <c r="E60" s="32"/>
      <c r="F60" s="33"/>
      <c r="G60" s="31" t="str">
        <f t="shared" si="1"/>
        <v/>
      </c>
      <c r="H60" s="31" t="str">
        <f t="shared" si="2"/>
        <v/>
      </c>
      <c r="I60" s="34"/>
      <c r="J60" s="31" t="str">
        <f t="shared" si="9"/>
        <v/>
      </c>
      <c r="K60" s="31" t="str">
        <f t="shared" si="10"/>
        <v/>
      </c>
      <c r="L60" s="34"/>
      <c r="M60" s="31" t="str">
        <f t="shared" si="11"/>
        <v/>
      </c>
      <c r="N60" s="31" t="str">
        <f t="shared" si="12"/>
        <v/>
      </c>
      <c r="O60" s="34"/>
      <c r="P60" s="31" t="str">
        <f t="shared" si="6"/>
        <v/>
      </c>
      <c r="Q60" s="31" t="str">
        <f t="shared" si="7"/>
        <v/>
      </c>
      <c r="R60" s="31" t="str">
        <f t="shared" si="13"/>
        <v/>
      </c>
      <c r="S60" s="31" t="str">
        <f t="shared" si="14"/>
        <v/>
      </c>
      <c r="T60" s="2"/>
      <c r="U60" s="2"/>
      <c r="V60" s="2"/>
    </row>
    <row r="61" spans="1:22" s="6" customFormat="1" x14ac:dyDescent="0.3">
      <c r="A61" s="44" t="s">
        <v>130</v>
      </c>
      <c r="B61" s="22" t="s">
        <v>58</v>
      </c>
      <c r="C61" s="61" t="s">
        <v>97</v>
      </c>
      <c r="D61" s="30"/>
      <c r="E61" s="30"/>
      <c r="F61" s="41"/>
      <c r="G61" s="31" t="str">
        <f t="shared" si="1"/>
        <v/>
      </c>
      <c r="H61" s="31" t="str">
        <f t="shared" si="2"/>
        <v/>
      </c>
      <c r="I61" s="41"/>
      <c r="J61" s="31" t="str">
        <f t="shared" si="9"/>
        <v/>
      </c>
      <c r="K61" s="31" t="str">
        <f t="shared" si="10"/>
        <v/>
      </c>
      <c r="L61" s="41"/>
      <c r="M61" s="31" t="str">
        <f t="shared" si="11"/>
        <v/>
      </c>
      <c r="N61" s="31" t="str">
        <f t="shared" si="12"/>
        <v/>
      </c>
      <c r="O61" s="41"/>
      <c r="P61" s="31" t="str">
        <f t="shared" si="6"/>
        <v/>
      </c>
      <c r="Q61" s="31" t="str">
        <f t="shared" si="7"/>
        <v/>
      </c>
      <c r="R61" s="31" t="str">
        <f t="shared" si="13"/>
        <v/>
      </c>
      <c r="S61" s="31" t="str">
        <f t="shared" si="14"/>
        <v/>
      </c>
      <c r="T61" s="2"/>
      <c r="U61" s="2"/>
      <c r="V61" s="2"/>
    </row>
    <row r="62" spans="1:22" s="6" customFormat="1" x14ac:dyDescent="0.3">
      <c r="A62" s="53">
        <v>1</v>
      </c>
      <c r="B62" s="22" t="s">
        <v>59</v>
      </c>
      <c r="C62" s="54" t="s">
        <v>98</v>
      </c>
      <c r="D62" s="32"/>
      <c r="E62" s="32"/>
      <c r="F62" s="33"/>
      <c r="G62" s="31" t="str">
        <f t="shared" si="1"/>
        <v/>
      </c>
      <c r="H62" s="31" t="str">
        <f t="shared" si="2"/>
        <v/>
      </c>
      <c r="I62" s="34"/>
      <c r="J62" s="31" t="str">
        <f t="shared" si="9"/>
        <v/>
      </c>
      <c r="K62" s="31" t="str">
        <f t="shared" si="10"/>
        <v/>
      </c>
      <c r="L62" s="34"/>
      <c r="M62" s="31" t="str">
        <f t="shared" si="11"/>
        <v/>
      </c>
      <c r="N62" s="31" t="str">
        <f t="shared" si="12"/>
        <v/>
      </c>
      <c r="O62" s="34"/>
      <c r="P62" s="31" t="str">
        <f t="shared" si="6"/>
        <v/>
      </c>
      <c r="Q62" s="31" t="str">
        <f t="shared" si="7"/>
        <v/>
      </c>
      <c r="R62" s="31" t="str">
        <f t="shared" si="13"/>
        <v/>
      </c>
      <c r="S62" s="31" t="str">
        <f t="shared" si="14"/>
        <v/>
      </c>
      <c r="T62" s="2"/>
      <c r="U62" s="2"/>
      <c r="V62" s="2"/>
    </row>
    <row r="63" spans="1:22" s="6" customFormat="1" x14ac:dyDescent="0.3">
      <c r="A63" s="53">
        <v>2</v>
      </c>
      <c r="B63" s="22" t="s">
        <v>60</v>
      </c>
      <c r="C63" s="54" t="s">
        <v>99</v>
      </c>
      <c r="D63" s="32"/>
      <c r="E63" s="32"/>
      <c r="F63" s="33"/>
      <c r="G63" s="31" t="str">
        <f t="shared" si="1"/>
        <v/>
      </c>
      <c r="H63" s="31" t="str">
        <f t="shared" si="2"/>
        <v/>
      </c>
      <c r="I63" s="34"/>
      <c r="J63" s="31" t="str">
        <f t="shared" si="9"/>
        <v/>
      </c>
      <c r="K63" s="31" t="str">
        <f t="shared" si="10"/>
        <v/>
      </c>
      <c r="L63" s="34"/>
      <c r="M63" s="31" t="str">
        <f t="shared" si="11"/>
        <v/>
      </c>
      <c r="N63" s="31" t="str">
        <f t="shared" si="12"/>
        <v/>
      </c>
      <c r="O63" s="34"/>
      <c r="P63" s="31" t="str">
        <f t="shared" si="6"/>
        <v/>
      </c>
      <c r="Q63" s="31" t="str">
        <f t="shared" si="7"/>
        <v/>
      </c>
      <c r="R63" s="31" t="str">
        <f t="shared" si="13"/>
        <v/>
      </c>
      <c r="S63" s="31" t="str">
        <f t="shared" si="14"/>
        <v/>
      </c>
      <c r="T63" s="2"/>
      <c r="U63" s="2"/>
      <c r="V63" s="2"/>
    </row>
    <row r="64" spans="1:22" s="6" customFormat="1" x14ac:dyDescent="0.3">
      <c r="A64" s="55" t="s">
        <v>109</v>
      </c>
      <c r="B64" s="22" t="s">
        <v>61</v>
      </c>
      <c r="C64" s="58" t="s">
        <v>100</v>
      </c>
      <c r="D64" s="40"/>
      <c r="E64" s="40"/>
      <c r="F64" s="37"/>
      <c r="G64" s="38" t="str">
        <f t="shared" si="1"/>
        <v/>
      </c>
      <c r="H64" s="38" t="str">
        <f t="shared" si="2"/>
        <v/>
      </c>
      <c r="I64" s="39"/>
      <c r="J64" s="38" t="str">
        <f t="shared" si="9"/>
        <v/>
      </c>
      <c r="K64" s="38" t="str">
        <f t="shared" si="10"/>
        <v/>
      </c>
      <c r="L64" s="39"/>
      <c r="M64" s="38" t="str">
        <f t="shared" si="11"/>
        <v/>
      </c>
      <c r="N64" s="38" t="str">
        <f t="shared" si="12"/>
        <v/>
      </c>
      <c r="O64" s="39"/>
      <c r="P64" s="38" t="str">
        <f t="shared" si="6"/>
        <v/>
      </c>
      <c r="Q64" s="38" t="str">
        <f t="shared" si="7"/>
        <v/>
      </c>
      <c r="R64" s="38" t="str">
        <f t="shared" si="13"/>
        <v/>
      </c>
      <c r="S64" s="38" t="str">
        <f t="shared" si="14"/>
        <v/>
      </c>
      <c r="T64" s="2"/>
      <c r="U64" s="2"/>
      <c r="V64" s="2"/>
    </row>
    <row r="65" spans="1:24" s="6" customFormat="1" x14ac:dyDescent="0.3">
      <c r="A65" s="53">
        <v>3</v>
      </c>
      <c r="B65" s="22" t="s">
        <v>62</v>
      </c>
      <c r="C65" s="54" t="s">
        <v>101</v>
      </c>
      <c r="D65" s="32"/>
      <c r="E65" s="32"/>
      <c r="F65" s="33"/>
      <c r="G65" s="31" t="str">
        <f t="shared" si="1"/>
        <v/>
      </c>
      <c r="H65" s="31" t="str">
        <f t="shared" si="2"/>
        <v/>
      </c>
      <c r="I65" s="34"/>
      <c r="J65" s="31" t="str">
        <f t="shared" si="9"/>
        <v/>
      </c>
      <c r="K65" s="31" t="str">
        <f t="shared" si="10"/>
        <v/>
      </c>
      <c r="L65" s="34"/>
      <c r="M65" s="31" t="str">
        <f t="shared" si="11"/>
        <v/>
      </c>
      <c r="N65" s="31" t="str">
        <f t="shared" si="12"/>
        <v/>
      </c>
      <c r="O65" s="34"/>
      <c r="P65" s="31" t="str">
        <f t="shared" si="6"/>
        <v/>
      </c>
      <c r="Q65" s="31" t="str">
        <f t="shared" si="7"/>
        <v/>
      </c>
      <c r="R65" s="31" t="str">
        <f t="shared" si="13"/>
        <v/>
      </c>
      <c r="S65" s="31" t="str">
        <f t="shared" si="14"/>
        <v/>
      </c>
      <c r="T65" s="2"/>
      <c r="U65" s="2"/>
      <c r="V65" s="2"/>
    </row>
    <row r="66" spans="1:24" s="6" customFormat="1" x14ac:dyDescent="0.3">
      <c r="A66" s="55" t="s">
        <v>109</v>
      </c>
      <c r="B66" s="22" t="s">
        <v>63</v>
      </c>
      <c r="C66" s="58" t="s">
        <v>102</v>
      </c>
      <c r="D66" s="40"/>
      <c r="E66" s="40"/>
      <c r="F66" s="37"/>
      <c r="G66" s="38" t="str">
        <f t="shared" si="1"/>
        <v/>
      </c>
      <c r="H66" s="38" t="str">
        <f t="shared" si="2"/>
        <v/>
      </c>
      <c r="I66" s="39"/>
      <c r="J66" s="38" t="str">
        <f t="shared" si="9"/>
        <v/>
      </c>
      <c r="K66" s="38" t="str">
        <f t="shared" si="10"/>
        <v/>
      </c>
      <c r="L66" s="39"/>
      <c r="M66" s="38" t="str">
        <f t="shared" si="11"/>
        <v/>
      </c>
      <c r="N66" s="38" t="str">
        <f t="shared" si="12"/>
        <v/>
      </c>
      <c r="O66" s="39"/>
      <c r="P66" s="38" t="str">
        <f t="shared" si="6"/>
        <v/>
      </c>
      <c r="Q66" s="38" t="str">
        <f t="shared" si="7"/>
        <v/>
      </c>
      <c r="R66" s="38" t="str">
        <f t="shared" si="13"/>
        <v/>
      </c>
      <c r="S66" s="38" t="str">
        <f t="shared" si="14"/>
        <v/>
      </c>
      <c r="T66" s="2"/>
      <c r="U66" s="2"/>
      <c r="V66" s="2"/>
    </row>
    <row r="67" spans="1:24" s="6" customFormat="1" x14ac:dyDescent="0.3">
      <c r="A67" s="53">
        <v>4</v>
      </c>
      <c r="B67" s="22" t="s">
        <v>64</v>
      </c>
      <c r="C67" s="54" t="s">
        <v>103</v>
      </c>
      <c r="D67" s="32"/>
      <c r="E67" s="32"/>
      <c r="F67" s="33"/>
      <c r="G67" s="31" t="str">
        <f t="shared" si="1"/>
        <v/>
      </c>
      <c r="H67" s="31" t="str">
        <f t="shared" si="2"/>
        <v/>
      </c>
      <c r="I67" s="34"/>
      <c r="J67" s="31" t="str">
        <f t="shared" si="9"/>
        <v/>
      </c>
      <c r="K67" s="31" t="str">
        <f t="shared" si="10"/>
        <v/>
      </c>
      <c r="L67" s="34"/>
      <c r="M67" s="31" t="str">
        <f t="shared" si="11"/>
        <v/>
      </c>
      <c r="N67" s="31" t="str">
        <f t="shared" si="12"/>
        <v/>
      </c>
      <c r="O67" s="34"/>
      <c r="P67" s="31" t="str">
        <f t="shared" si="6"/>
        <v/>
      </c>
      <c r="Q67" s="31" t="str">
        <f t="shared" si="7"/>
        <v/>
      </c>
      <c r="R67" s="31" t="str">
        <f t="shared" si="13"/>
        <v/>
      </c>
      <c r="S67" s="31" t="str">
        <f t="shared" si="14"/>
        <v/>
      </c>
      <c r="T67" s="2"/>
      <c r="U67" s="2"/>
      <c r="V67" s="2"/>
    </row>
    <row r="68" spans="1:24" x14ac:dyDescent="0.3">
      <c r="A68" s="55" t="s">
        <v>109</v>
      </c>
      <c r="B68" s="14" t="s">
        <v>65</v>
      </c>
      <c r="C68" s="58" t="s">
        <v>104</v>
      </c>
      <c r="D68" s="40"/>
      <c r="E68" s="40"/>
      <c r="F68" s="37"/>
      <c r="G68" s="38" t="str">
        <f t="shared" si="1"/>
        <v/>
      </c>
      <c r="H68" s="38" t="str">
        <f t="shared" si="2"/>
        <v/>
      </c>
      <c r="I68" s="39"/>
      <c r="J68" s="38" t="str">
        <f t="shared" si="9"/>
        <v/>
      </c>
      <c r="K68" s="38" t="str">
        <f t="shared" si="10"/>
        <v/>
      </c>
      <c r="L68" s="39"/>
      <c r="M68" s="38" t="str">
        <f t="shared" si="11"/>
        <v/>
      </c>
      <c r="N68" s="38" t="str">
        <f t="shared" si="12"/>
        <v/>
      </c>
      <c r="O68" s="39"/>
      <c r="P68" s="38" t="str">
        <f t="shared" si="6"/>
        <v/>
      </c>
      <c r="Q68" s="38" t="str">
        <f t="shared" si="7"/>
        <v/>
      </c>
      <c r="R68" s="38" t="str">
        <f t="shared" si="13"/>
        <v/>
      </c>
      <c r="S68" s="38" t="str">
        <f t="shared" si="14"/>
        <v/>
      </c>
    </row>
    <row r="69" spans="1:24" x14ac:dyDescent="0.3">
      <c r="A69" s="53">
        <v>5</v>
      </c>
      <c r="B69" s="9" t="s">
        <v>66</v>
      </c>
      <c r="C69" s="54" t="s">
        <v>105</v>
      </c>
      <c r="D69" s="32"/>
      <c r="E69" s="32"/>
      <c r="F69" s="33"/>
      <c r="G69" s="31" t="str">
        <f t="shared" si="1"/>
        <v/>
      </c>
      <c r="H69" s="31" t="str">
        <f t="shared" si="2"/>
        <v/>
      </c>
      <c r="I69" s="34"/>
      <c r="J69" s="31" t="str">
        <f t="shared" si="9"/>
        <v/>
      </c>
      <c r="K69" s="31" t="str">
        <f t="shared" si="10"/>
        <v/>
      </c>
      <c r="L69" s="34"/>
      <c r="M69" s="31" t="str">
        <f t="shared" si="11"/>
        <v/>
      </c>
      <c r="N69" s="31" t="str">
        <f t="shared" si="12"/>
        <v/>
      </c>
      <c r="O69" s="34"/>
      <c r="P69" s="31" t="str">
        <f t="shared" si="6"/>
        <v/>
      </c>
      <c r="Q69" s="31" t="str">
        <f t="shared" si="7"/>
        <v/>
      </c>
      <c r="R69" s="31" t="str">
        <f t="shared" si="13"/>
        <v/>
      </c>
      <c r="S69" s="31" t="str">
        <f t="shared" si="14"/>
        <v/>
      </c>
    </row>
    <row r="70" spans="1:24" ht="16.8" x14ac:dyDescent="0.3">
      <c r="A70" s="53">
        <v>6</v>
      </c>
      <c r="B70" s="10" t="s">
        <v>67</v>
      </c>
      <c r="C70" s="54" t="s">
        <v>106</v>
      </c>
      <c r="D70" s="32"/>
      <c r="E70" s="32"/>
      <c r="F70" s="33"/>
      <c r="G70" s="31" t="str">
        <f t="shared" si="1"/>
        <v/>
      </c>
      <c r="H70" s="31" t="str">
        <f t="shared" si="2"/>
        <v/>
      </c>
      <c r="I70" s="34"/>
      <c r="J70" s="31" t="str">
        <f t="shared" si="9"/>
        <v/>
      </c>
      <c r="K70" s="31" t="str">
        <f t="shared" si="10"/>
        <v/>
      </c>
      <c r="L70" s="34"/>
      <c r="M70" s="31" t="str">
        <f t="shared" si="11"/>
        <v/>
      </c>
      <c r="N70" s="31" t="str">
        <f t="shared" si="12"/>
        <v/>
      </c>
      <c r="O70" s="34"/>
      <c r="P70" s="31" t="str">
        <f t="shared" si="6"/>
        <v/>
      </c>
      <c r="Q70" s="31" t="str">
        <f t="shared" si="7"/>
        <v/>
      </c>
      <c r="R70" s="31" t="str">
        <f t="shared" si="13"/>
        <v/>
      </c>
      <c r="S70" s="31" t="str">
        <f t="shared" si="14"/>
        <v/>
      </c>
      <c r="T70" s="25"/>
      <c r="U70" s="25"/>
      <c r="V70" s="25"/>
      <c r="W70" s="25"/>
      <c r="X70" s="25"/>
    </row>
    <row r="71" spans="1:24" ht="31.2" x14ac:dyDescent="0.3">
      <c r="A71" s="53">
        <v>7</v>
      </c>
      <c r="B71" s="11" t="s">
        <v>68</v>
      </c>
      <c r="C71" s="54" t="s">
        <v>107</v>
      </c>
      <c r="D71" s="32"/>
      <c r="E71" s="32"/>
      <c r="F71" s="33"/>
      <c r="G71" s="31" t="str">
        <f t="shared" si="1"/>
        <v/>
      </c>
      <c r="H71" s="31" t="str">
        <f t="shared" si="2"/>
        <v/>
      </c>
      <c r="I71" s="34"/>
      <c r="J71" s="31" t="str">
        <f t="shared" si="9"/>
        <v/>
      </c>
      <c r="K71" s="31" t="str">
        <f t="shared" si="10"/>
        <v/>
      </c>
      <c r="L71" s="34"/>
      <c r="M71" s="31" t="str">
        <f t="shared" si="11"/>
        <v/>
      </c>
      <c r="N71" s="31" t="str">
        <f t="shared" si="12"/>
        <v/>
      </c>
      <c r="O71" s="34"/>
      <c r="P71" s="31" t="str">
        <f t="shared" si="6"/>
        <v/>
      </c>
      <c r="Q71" s="31" t="str">
        <f t="shared" si="7"/>
        <v/>
      </c>
      <c r="R71" s="31" t="str">
        <f t="shared" si="13"/>
        <v/>
      </c>
      <c r="S71" s="31" t="str">
        <f t="shared" si="14"/>
        <v/>
      </c>
      <c r="T71" s="26"/>
      <c r="U71" s="26"/>
      <c r="V71" s="26"/>
      <c r="W71" s="26"/>
      <c r="X71" s="26"/>
    </row>
    <row r="72" spans="1:24" ht="31.2" x14ac:dyDescent="0.3">
      <c r="A72" s="53">
        <v>8</v>
      </c>
      <c r="B72" s="2" t="s">
        <v>69</v>
      </c>
      <c r="C72" s="54" t="s">
        <v>108</v>
      </c>
      <c r="D72" s="32"/>
      <c r="E72" s="32"/>
      <c r="F72" s="33"/>
      <c r="G72" s="31" t="str">
        <f t="shared" si="1"/>
        <v/>
      </c>
      <c r="H72" s="31" t="str">
        <f t="shared" si="2"/>
        <v/>
      </c>
      <c r="I72" s="34"/>
      <c r="J72" s="31" t="str">
        <f t="shared" si="9"/>
        <v/>
      </c>
      <c r="K72" s="31" t="str">
        <f t="shared" si="10"/>
        <v/>
      </c>
      <c r="L72" s="34"/>
      <c r="M72" s="31" t="str">
        <f t="shared" si="11"/>
        <v/>
      </c>
      <c r="N72" s="31" t="str">
        <f t="shared" si="12"/>
        <v/>
      </c>
      <c r="O72" s="34"/>
      <c r="P72" s="31" t="str">
        <f t="shared" si="6"/>
        <v/>
      </c>
      <c r="Q72" s="31" t="str">
        <f t="shared" si="7"/>
        <v/>
      </c>
      <c r="R72" s="31" t="str">
        <f t="shared" si="13"/>
        <v/>
      </c>
      <c r="S72" s="31" t="str">
        <f t="shared" si="14"/>
        <v/>
      </c>
      <c r="T72" s="24"/>
      <c r="U72" s="24"/>
      <c r="V72" s="24"/>
      <c r="W72" s="24"/>
      <c r="X72" s="24"/>
    </row>
    <row r="73" spans="1:24" x14ac:dyDescent="0.3">
      <c r="A73" s="53">
        <v>9</v>
      </c>
      <c r="B73" s="1" t="s">
        <v>138</v>
      </c>
      <c r="C73" s="54" t="s">
        <v>131</v>
      </c>
      <c r="D73" s="32"/>
      <c r="E73" s="32"/>
      <c r="F73" s="32"/>
      <c r="G73" s="31" t="str">
        <f t="shared" si="1"/>
        <v/>
      </c>
      <c r="H73" s="31" t="str">
        <f t="shared" si="2"/>
        <v/>
      </c>
      <c r="I73" s="34"/>
      <c r="J73" s="31" t="str">
        <f t="shared" si="9"/>
        <v/>
      </c>
      <c r="K73" s="31" t="str">
        <f t="shared" si="10"/>
        <v/>
      </c>
      <c r="L73" s="34"/>
      <c r="M73" s="31" t="str">
        <f t="shared" si="11"/>
        <v/>
      </c>
      <c r="N73" s="31" t="str">
        <f t="shared" si="12"/>
        <v/>
      </c>
      <c r="O73" s="34"/>
      <c r="P73" s="31" t="str">
        <f t="shared" si="6"/>
        <v/>
      </c>
      <c r="Q73" s="31" t="str">
        <f t="shared" si="7"/>
        <v/>
      </c>
      <c r="R73" s="31" t="str">
        <f t="shared" si="13"/>
        <v/>
      </c>
      <c r="S73" s="31" t="str">
        <f t="shared" si="14"/>
        <v/>
      </c>
    </row>
    <row r="74" spans="1:24" x14ac:dyDescent="0.3">
      <c r="A74" s="63" t="s">
        <v>109</v>
      </c>
      <c r="B74" s="73" t="s">
        <v>139</v>
      </c>
      <c r="C74" s="72" t="s">
        <v>132</v>
      </c>
      <c r="D74" s="64"/>
      <c r="E74" s="42"/>
      <c r="F74" s="42"/>
      <c r="G74" s="65" t="str">
        <f t="shared" si="1"/>
        <v/>
      </c>
      <c r="H74" s="65" t="str">
        <f t="shared" si="2"/>
        <v/>
      </c>
      <c r="I74" s="66"/>
      <c r="J74" s="65" t="str">
        <f t="shared" si="9"/>
        <v/>
      </c>
      <c r="K74" s="65" t="str">
        <f t="shared" si="10"/>
        <v/>
      </c>
      <c r="L74" s="66"/>
      <c r="M74" s="65" t="str">
        <f t="shared" si="11"/>
        <v/>
      </c>
      <c r="N74" s="65" t="str">
        <f t="shared" si="12"/>
        <v/>
      </c>
      <c r="O74" s="66"/>
      <c r="P74" s="65" t="str">
        <f t="shared" si="6"/>
        <v/>
      </c>
      <c r="Q74" s="65" t="str">
        <f t="shared" si="7"/>
        <v/>
      </c>
      <c r="R74" s="65" t="str">
        <f t="shared" si="13"/>
        <v/>
      </c>
      <c r="S74" s="65" t="str">
        <f t="shared" si="14"/>
        <v/>
      </c>
    </row>
    <row r="75" spans="1:24" x14ac:dyDescent="0.3">
      <c r="A75" s="92"/>
      <c r="B75" s="92"/>
      <c r="C75" s="92"/>
    </row>
    <row r="77" spans="1:24" ht="16.8" x14ac:dyDescent="0.3">
      <c r="D77" s="24"/>
    </row>
  </sheetData>
  <mergeCells count="34">
    <mergeCell ref="A75:C75"/>
    <mergeCell ref="A3:C3"/>
    <mergeCell ref="A4:C4"/>
    <mergeCell ref="A8:A11"/>
    <mergeCell ref="C8:C11"/>
    <mergeCell ref="B8:B11"/>
    <mergeCell ref="D8:D11"/>
    <mergeCell ref="K1:S1"/>
    <mergeCell ref="A6:S6"/>
    <mergeCell ref="R10:R11"/>
    <mergeCell ref="O8:S8"/>
    <mergeCell ref="N10:N11"/>
    <mergeCell ref="P10:P11"/>
    <mergeCell ref="Q10:Q11"/>
    <mergeCell ref="S10:S11"/>
    <mergeCell ref="O9:O11"/>
    <mergeCell ref="P9:Q9"/>
    <mergeCell ref="I8:K8"/>
    <mergeCell ref="L8:N8"/>
    <mergeCell ref="F9:F11"/>
    <mergeCell ref="E8:E11"/>
    <mergeCell ref="F8:H8"/>
    <mergeCell ref="R9:S9"/>
    <mergeCell ref="K7:S7"/>
    <mergeCell ref="G9:H9"/>
    <mergeCell ref="I9:I11"/>
    <mergeCell ref="J9:K9"/>
    <mergeCell ref="L9:L11"/>
    <mergeCell ref="M9:N9"/>
    <mergeCell ref="G10:G11"/>
    <mergeCell ref="H10:H11"/>
    <mergeCell ref="J10:J11"/>
    <mergeCell ref="K10:K11"/>
    <mergeCell ref="M10:M11"/>
  </mergeCells>
  <pageMargins left="0.7" right="0.7" top="0.75" bottom="0.75" header="0.3" footer="0.3"/>
  <pageSetup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Administrator</cp:lastModifiedBy>
  <dcterms:created xsi:type="dcterms:W3CDTF">2024-08-05T01:43:59Z</dcterms:created>
  <dcterms:modified xsi:type="dcterms:W3CDTF">2026-06-15T06:30:16Z</dcterms:modified>
</cp:coreProperties>
</file>
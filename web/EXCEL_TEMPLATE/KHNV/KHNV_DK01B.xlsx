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WORKSHOP\CV NAM 2024\TTBC\KHNV\Chỉnh sửa Kế hoạch tín dụng 2025\2025\"/>
    </mc:Choice>
  </mc:AlternateContent>
  <xr:revisionPtr revIDLastSave="0" documentId="13_ncr:1_{752C9A61-2007-48DF-84C6-2A1D2A7CA0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uri="GoogleSheetsCustomDataVersion1">
      <go:sheetsCustomData xmlns:go="http://customooxmlschemas.google.com/" r:id="rId5" roundtripDataSignature="AMtx7mj+h7E/gDm0ztRXQ2IcLW85MAK0kg=="/>
    </ext>
  </extLst>
</workbook>
</file>

<file path=xl/calcChain.xml><?xml version="1.0" encoding="utf-8"?>
<calcChain xmlns="http://schemas.openxmlformats.org/spreadsheetml/2006/main">
  <c r="F56" i="1" l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E56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E28" i="1"/>
  <c r="D75" i="1"/>
  <c r="F43" i="1"/>
  <c r="I43" i="1"/>
  <c r="J43" i="1"/>
  <c r="K43" i="1"/>
  <c r="M43" i="1"/>
  <c r="N43" i="1"/>
  <c r="O43" i="1"/>
  <c r="P43" i="1"/>
  <c r="Q43" i="1"/>
  <c r="U43" i="1"/>
  <c r="V43" i="1"/>
  <c r="W43" i="1"/>
  <c r="Y43" i="1"/>
  <c r="Z43" i="1"/>
  <c r="AA43" i="1"/>
  <c r="AB43" i="1"/>
  <c r="AC43" i="1"/>
  <c r="AD43" i="1"/>
  <c r="AG43" i="1"/>
  <c r="AI43" i="1"/>
  <c r="AK43" i="1"/>
  <c r="AL43" i="1"/>
  <c r="AM43" i="1"/>
  <c r="AN43" i="1"/>
  <c r="AO43" i="1"/>
  <c r="AP43" i="1"/>
  <c r="AS43" i="1"/>
  <c r="AT43" i="1"/>
  <c r="AU43" i="1"/>
  <c r="AW43" i="1"/>
  <c r="AY43" i="1"/>
  <c r="AZ43" i="1"/>
  <c r="BA43" i="1"/>
  <c r="BB43" i="1"/>
  <c r="BE43" i="1"/>
  <c r="BF43" i="1"/>
  <c r="BG43" i="1"/>
  <c r="BI43" i="1"/>
  <c r="BJ43" i="1"/>
  <c r="BK43" i="1"/>
  <c r="BL43" i="1"/>
  <c r="BM43" i="1"/>
  <c r="BQ43" i="1"/>
  <c r="BR43" i="1"/>
  <c r="BS43" i="1"/>
  <c r="BU43" i="1"/>
  <c r="BW43" i="1"/>
  <c r="BX43" i="1"/>
  <c r="BY43" i="1"/>
  <c r="CC43" i="1"/>
  <c r="CE43" i="1"/>
  <c r="CG43" i="1"/>
  <c r="CI43" i="1"/>
  <c r="CJ43" i="1"/>
  <c r="CK43" i="1"/>
  <c r="CM43" i="1"/>
  <c r="CO43" i="1"/>
  <c r="CP43" i="1"/>
  <c r="CQ43" i="1"/>
  <c r="CS43" i="1"/>
  <c r="CU43" i="1"/>
  <c r="CV43" i="1"/>
  <c r="CW43" i="1"/>
  <c r="DA43" i="1"/>
  <c r="DE43" i="1"/>
  <c r="DG43" i="1"/>
  <c r="DH43" i="1"/>
  <c r="DI43" i="1"/>
  <c r="DM43" i="1"/>
  <c r="DN43" i="1"/>
  <c r="DO43" i="1"/>
  <c r="DQ43" i="1"/>
  <c r="DS43" i="1"/>
  <c r="DT43" i="1"/>
  <c r="DU43" i="1"/>
  <c r="DY43" i="1"/>
  <c r="EC43" i="1"/>
  <c r="EE43" i="1"/>
  <c r="EF43" i="1"/>
  <c r="EG43" i="1"/>
  <c r="EK43" i="1"/>
  <c r="EL43" i="1"/>
  <c r="EM43" i="1"/>
  <c r="EO43" i="1"/>
  <c r="EQ43" i="1"/>
  <c r="ER43" i="1"/>
  <c r="ES43" i="1"/>
  <c r="EW43" i="1"/>
  <c r="EY43" i="1"/>
  <c r="FA43" i="1"/>
  <c r="FC43" i="1"/>
  <c r="FD43" i="1"/>
  <c r="FE43" i="1"/>
  <c r="FI43" i="1"/>
  <c r="FJ43" i="1"/>
  <c r="FK43" i="1"/>
  <c r="FM43" i="1"/>
  <c r="FO43" i="1"/>
  <c r="FP43" i="1"/>
  <c r="FQ43" i="1"/>
  <c r="FS43" i="1"/>
  <c r="FU43" i="1"/>
  <c r="G43" i="1"/>
  <c r="H43" i="1"/>
  <c r="L43" i="1"/>
  <c r="R43" i="1"/>
  <c r="S43" i="1"/>
  <c r="T43" i="1"/>
  <c r="X43" i="1"/>
  <c r="AE43" i="1"/>
  <c r="AF43" i="1"/>
  <c r="AH43" i="1"/>
  <c r="AJ43" i="1"/>
  <c r="AQ43" i="1"/>
  <c r="AR43" i="1"/>
  <c r="AV43" i="1"/>
  <c r="AX43" i="1"/>
  <c r="BC43" i="1"/>
  <c r="BD43" i="1"/>
  <c r="BH43" i="1"/>
  <c r="BN43" i="1"/>
  <c r="BO43" i="1"/>
  <c r="BP43" i="1"/>
  <c r="BT43" i="1"/>
  <c r="BV43" i="1"/>
  <c r="BZ43" i="1"/>
  <c r="CA43" i="1"/>
  <c r="CB43" i="1"/>
  <c r="CD43" i="1"/>
  <c r="CF43" i="1"/>
  <c r="CH43" i="1"/>
  <c r="CL43" i="1"/>
  <c r="CN43" i="1"/>
  <c r="CR43" i="1"/>
  <c r="CT43" i="1"/>
  <c r="CX43" i="1"/>
  <c r="CY43" i="1"/>
  <c r="CZ43" i="1"/>
  <c r="DB43" i="1"/>
  <c r="DC43" i="1"/>
  <c r="DD43" i="1"/>
  <c r="DF43" i="1"/>
  <c r="DJ43" i="1"/>
  <c r="DK43" i="1"/>
  <c r="DL43" i="1"/>
  <c r="DP43" i="1"/>
  <c r="DR43" i="1"/>
  <c r="DV43" i="1"/>
  <c r="DW43" i="1"/>
  <c r="DX43" i="1"/>
  <c r="DZ43" i="1"/>
  <c r="EA43" i="1"/>
  <c r="EB43" i="1"/>
  <c r="ED43" i="1"/>
  <c r="EH43" i="1"/>
  <c r="EI43" i="1"/>
  <c r="EJ43" i="1"/>
  <c r="EN43" i="1"/>
  <c r="EP43" i="1"/>
  <c r="ET43" i="1"/>
  <c r="EU43" i="1"/>
  <c r="EV43" i="1"/>
  <c r="EX43" i="1"/>
  <c r="EZ43" i="1"/>
  <c r="FB43" i="1"/>
  <c r="FF43" i="1"/>
  <c r="FG43" i="1"/>
  <c r="FH43" i="1"/>
  <c r="FL43" i="1"/>
  <c r="FN43" i="1"/>
  <c r="FR43" i="1"/>
  <c r="FT43" i="1"/>
  <c r="FV43" i="1"/>
  <c r="FW43" i="1"/>
  <c r="FX43" i="1"/>
  <c r="F36" i="1"/>
  <c r="G36" i="1"/>
  <c r="H36" i="1"/>
  <c r="I36" i="1"/>
  <c r="J36" i="1"/>
  <c r="J13" i="1" s="1"/>
  <c r="K36" i="1"/>
  <c r="L36" i="1"/>
  <c r="M36" i="1"/>
  <c r="N36" i="1"/>
  <c r="O36" i="1"/>
  <c r="P36" i="1"/>
  <c r="Q36" i="1"/>
  <c r="R36" i="1"/>
  <c r="R13" i="1" s="1"/>
  <c r="S36" i="1"/>
  <c r="T36" i="1"/>
  <c r="U36" i="1"/>
  <c r="V36" i="1"/>
  <c r="V13" i="1" s="1"/>
  <c r="W36" i="1"/>
  <c r="X36" i="1"/>
  <c r="Y36" i="1"/>
  <c r="Z36" i="1"/>
  <c r="AA36" i="1"/>
  <c r="AB36" i="1"/>
  <c r="AC36" i="1"/>
  <c r="AD36" i="1"/>
  <c r="AE36" i="1"/>
  <c r="AF36" i="1"/>
  <c r="AG36" i="1"/>
  <c r="AH36" i="1"/>
  <c r="AH13" i="1" s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T13" i="1" s="1"/>
  <c r="AU36" i="1"/>
  <c r="AV36" i="1"/>
  <c r="AW36" i="1"/>
  <c r="AX36" i="1"/>
  <c r="AY36" i="1"/>
  <c r="AZ36" i="1"/>
  <c r="BA36" i="1"/>
  <c r="BB36" i="1"/>
  <c r="BB13" i="1" s="1"/>
  <c r="BC36" i="1"/>
  <c r="BD36" i="1"/>
  <c r="BE36" i="1"/>
  <c r="BF36" i="1"/>
  <c r="BF13" i="1" s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R13" i="1" s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D13" i="1" s="1"/>
  <c r="CE36" i="1"/>
  <c r="CF36" i="1"/>
  <c r="CG36" i="1"/>
  <c r="CH36" i="1"/>
  <c r="CI36" i="1"/>
  <c r="CJ36" i="1"/>
  <c r="CJ13" i="1" s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B13" i="1" s="1"/>
  <c r="DB12" i="1" s="1"/>
  <c r="DC36" i="1"/>
  <c r="DD36" i="1"/>
  <c r="DE36" i="1"/>
  <c r="DF36" i="1"/>
  <c r="DG36" i="1"/>
  <c r="DH36" i="1"/>
  <c r="DH13" i="1" s="1"/>
  <c r="DI36" i="1"/>
  <c r="DJ36" i="1"/>
  <c r="DK36" i="1"/>
  <c r="DL36" i="1"/>
  <c r="DM36" i="1"/>
  <c r="DN36" i="1"/>
  <c r="DN13" i="1" s="1"/>
  <c r="DO36" i="1"/>
  <c r="DP36" i="1"/>
  <c r="DQ36" i="1"/>
  <c r="DR36" i="1"/>
  <c r="DS36" i="1"/>
  <c r="DT36" i="1"/>
  <c r="DT13" i="1" s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F13" i="1" s="1"/>
  <c r="EG36" i="1"/>
  <c r="EH36" i="1"/>
  <c r="EI36" i="1"/>
  <c r="EJ36" i="1"/>
  <c r="EK36" i="1"/>
  <c r="EL36" i="1"/>
  <c r="EL13" i="1" s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X13" i="1" s="1"/>
  <c r="EX12" i="1" s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J13" i="1" s="1"/>
  <c r="FK36" i="1"/>
  <c r="FL36" i="1"/>
  <c r="FM36" i="1"/>
  <c r="FN36" i="1"/>
  <c r="FO36" i="1"/>
  <c r="FP36" i="1"/>
  <c r="FP13" i="1" s="1"/>
  <c r="FQ36" i="1"/>
  <c r="FR36" i="1"/>
  <c r="FS36" i="1"/>
  <c r="FT36" i="1"/>
  <c r="FU36" i="1"/>
  <c r="FV36" i="1"/>
  <c r="FV13" i="1" s="1"/>
  <c r="FV12" i="1" s="1"/>
  <c r="FW36" i="1"/>
  <c r="FX36" i="1"/>
  <c r="E36" i="1"/>
  <c r="G13" i="1"/>
  <c r="H13" i="1"/>
  <c r="H12" i="1" s="1"/>
  <c r="K13" i="1"/>
  <c r="M13" i="1"/>
  <c r="N13" i="1"/>
  <c r="Q13" i="1"/>
  <c r="S13" i="1"/>
  <c r="T13" i="1"/>
  <c r="T12" i="1" s="1"/>
  <c r="W13" i="1"/>
  <c r="Y13" i="1"/>
  <c r="Z13" i="1"/>
  <c r="AC13" i="1"/>
  <c r="AE13" i="1"/>
  <c r="AF13" i="1"/>
  <c r="AI13" i="1"/>
  <c r="AK13" i="1"/>
  <c r="AL13" i="1"/>
  <c r="AO13" i="1"/>
  <c r="AQ13" i="1"/>
  <c r="AR13" i="1"/>
  <c r="AU13" i="1"/>
  <c r="AW13" i="1"/>
  <c r="BA13" i="1"/>
  <c r="BC13" i="1"/>
  <c r="BD13" i="1"/>
  <c r="BG13" i="1"/>
  <c r="BI13" i="1"/>
  <c r="BJ13" i="1"/>
  <c r="BM13" i="1"/>
  <c r="BO13" i="1"/>
  <c r="BO12" i="1" s="1"/>
  <c r="BP13" i="1"/>
  <c r="BS13" i="1"/>
  <c r="BU13" i="1"/>
  <c r="BV13" i="1"/>
  <c r="BY13" i="1"/>
  <c r="CA13" i="1"/>
  <c r="CA12" i="1" s="1"/>
  <c r="CB13" i="1"/>
  <c r="CE13" i="1"/>
  <c r="CG13" i="1"/>
  <c r="CH13" i="1"/>
  <c r="CK13" i="1"/>
  <c r="CM13" i="1"/>
  <c r="CP13" i="1"/>
  <c r="CQ13" i="1"/>
  <c r="CS13" i="1"/>
  <c r="CT13" i="1"/>
  <c r="CW13" i="1"/>
  <c r="CX13" i="1"/>
  <c r="CX12" i="1" s="1"/>
  <c r="CY13" i="1"/>
  <c r="CZ13" i="1"/>
  <c r="DC13" i="1"/>
  <c r="DF13" i="1"/>
  <c r="DF12" i="1" s="1"/>
  <c r="DI13" i="1"/>
  <c r="DJ13" i="1"/>
  <c r="DJ12" i="1" s="1"/>
  <c r="DK13" i="1"/>
  <c r="DL13" i="1"/>
  <c r="DL12" i="1" s="1"/>
  <c r="DO13" i="1"/>
  <c r="DQ13" i="1"/>
  <c r="DV13" i="1"/>
  <c r="DV12" i="1" s="1"/>
  <c r="DW13" i="1"/>
  <c r="DW12" i="1" s="1"/>
  <c r="DX13" i="1"/>
  <c r="DZ13" i="1"/>
  <c r="EA13" i="1"/>
  <c r="EB13" i="1"/>
  <c r="EC13" i="1"/>
  <c r="ED13" i="1"/>
  <c r="EG13" i="1"/>
  <c r="EH13" i="1"/>
  <c r="EI13" i="1"/>
  <c r="EI12" i="1" s="1"/>
  <c r="EJ13" i="1"/>
  <c r="EJ12" i="1" s="1"/>
  <c r="EM13" i="1"/>
  <c r="EO13" i="1"/>
  <c r="EP13" i="1"/>
  <c r="ES13" i="1"/>
  <c r="EU13" i="1"/>
  <c r="EU12" i="1" s="1"/>
  <c r="EV13" i="1"/>
  <c r="EY13" i="1"/>
  <c r="EZ13" i="1"/>
  <c r="EZ12" i="1" s="1"/>
  <c r="FB13" i="1"/>
  <c r="FD13" i="1"/>
  <c r="FE13" i="1"/>
  <c r="FG13" i="1"/>
  <c r="FH13" i="1"/>
  <c r="FK13" i="1"/>
  <c r="FL13" i="1"/>
  <c r="FL12" i="1" s="1"/>
  <c r="FM13" i="1"/>
  <c r="FN13" i="1"/>
  <c r="FN12" i="1" s="1"/>
  <c r="FS13" i="1"/>
  <c r="FT13" i="1"/>
  <c r="FT12" i="1" s="1"/>
  <c r="FW13" i="1"/>
  <c r="FX13" i="1"/>
  <c r="FX12" i="1" s="1"/>
  <c r="E13" i="1"/>
  <c r="F13" i="1"/>
  <c r="AD13" i="1"/>
  <c r="AX13" i="1"/>
  <c r="BZ13" i="1"/>
  <c r="CL13" i="1"/>
  <c r="CN13" i="1"/>
  <c r="CN12" i="1" s="1"/>
  <c r="DD13" i="1"/>
  <c r="DP13" i="1"/>
  <c r="DR13" i="1"/>
  <c r="EN13" i="1"/>
  <c r="EN12" i="1" s="1"/>
  <c r="ET13" i="1"/>
  <c r="FF13" i="1"/>
  <c r="FF12" i="1" s="1"/>
  <c r="FR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4" i="1"/>
  <c r="D45" i="1"/>
  <c r="D46" i="1"/>
  <c r="D47" i="1"/>
  <c r="D48" i="1"/>
  <c r="D49" i="1"/>
  <c r="D50" i="1"/>
  <c r="D51" i="1"/>
  <c r="D52" i="1"/>
  <c r="D53" i="1"/>
  <c r="D55" i="1"/>
  <c r="D57" i="1"/>
  <c r="D58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6" i="1"/>
  <c r="D56" i="1" l="1"/>
  <c r="FH12" i="1"/>
  <c r="DP12" i="1"/>
  <c r="FG12" i="1"/>
  <c r="EV12" i="1"/>
  <c r="EB12" i="1"/>
  <c r="CT12" i="1"/>
  <c r="BV12" i="1"/>
  <c r="DD12" i="1"/>
  <c r="FR12" i="1"/>
  <c r="CD12" i="1"/>
  <c r="CZ12" i="1"/>
  <c r="FB12" i="1"/>
  <c r="EP12" i="1"/>
  <c r="DX12" i="1"/>
  <c r="DK12" i="1"/>
  <c r="CY12" i="1"/>
  <c r="CB12" i="1"/>
  <c r="BP12" i="1"/>
  <c r="BD12" i="1"/>
  <c r="AE12" i="1"/>
  <c r="S12" i="1"/>
  <c r="D28" i="1"/>
  <c r="FS12" i="1"/>
  <c r="CM12" i="1"/>
  <c r="EK13" i="1"/>
  <c r="CO13" i="1"/>
  <c r="D36" i="1"/>
  <c r="BZ12" i="1"/>
  <c r="EH12" i="1"/>
  <c r="CR13" i="1"/>
  <c r="CR12" i="1" s="1"/>
  <c r="CF13" i="1"/>
  <c r="CF12" i="1" s="1"/>
  <c r="BT13" i="1"/>
  <c r="BT12" i="1" s="1"/>
  <c r="BN13" i="1"/>
  <c r="BH13" i="1"/>
  <c r="AV13" i="1"/>
  <c r="AV12" i="1" s="1"/>
  <c r="AP13" i="1"/>
  <c r="AP12" i="1" s="1"/>
  <c r="AJ13" i="1"/>
  <c r="AJ12" i="1" s="1"/>
  <c r="X13" i="1"/>
  <c r="X12" i="1" s="1"/>
  <c r="L13" i="1"/>
  <c r="FJ12" i="1"/>
  <c r="EL12" i="1"/>
  <c r="DT12" i="1"/>
  <c r="DH12" i="1"/>
  <c r="CJ12" i="1"/>
  <c r="FD12" i="1"/>
  <c r="DZ12" i="1"/>
  <c r="FA13" i="1"/>
  <c r="FA12" i="1" s="1"/>
  <c r="DE13" i="1"/>
  <c r="DE12" i="1" s="1"/>
  <c r="FP12" i="1"/>
  <c r="FW12" i="1"/>
  <c r="EM12" i="1"/>
  <c r="EA12" i="1"/>
  <c r="BS12" i="1"/>
  <c r="AI12" i="1"/>
  <c r="ER13" i="1"/>
  <c r="ER12" i="1" s="1"/>
  <c r="CV13" i="1"/>
  <c r="CV12" i="1" s="1"/>
  <c r="BX13" i="1"/>
  <c r="BX12" i="1" s="1"/>
  <c r="BL13" i="1"/>
  <c r="AZ13" i="1"/>
  <c r="AZ12" i="1" s="1"/>
  <c r="AN13" i="1"/>
  <c r="AN12" i="1" s="1"/>
  <c r="AB13" i="1"/>
  <c r="AB12" i="1" s="1"/>
  <c r="P13" i="1"/>
  <c r="P12" i="1" s="1"/>
  <c r="CL12" i="1"/>
  <c r="FK12" i="1"/>
  <c r="EY12" i="1"/>
  <c r="DO12" i="1"/>
  <c r="DC12" i="1"/>
  <c r="CQ12" i="1"/>
  <c r="CE12" i="1"/>
  <c r="AU12" i="1"/>
  <c r="FU13" i="1"/>
  <c r="FU12" i="1" s="1"/>
  <c r="FO13" i="1"/>
  <c r="FO12" i="1" s="1"/>
  <c r="FI13" i="1"/>
  <c r="FI12" i="1" s="1"/>
  <c r="FC13" i="1"/>
  <c r="FC12" i="1" s="1"/>
  <c r="EW13" i="1"/>
  <c r="EQ13" i="1"/>
  <c r="EQ12" i="1" s="1"/>
  <c r="EE13" i="1"/>
  <c r="EE12" i="1" s="1"/>
  <c r="DY13" i="1"/>
  <c r="DY12" i="1" s="1"/>
  <c r="DS13" i="1"/>
  <c r="DS12" i="1" s="1"/>
  <c r="DM13" i="1"/>
  <c r="DM12" i="1" s="1"/>
  <c r="DG13" i="1"/>
  <c r="DG12" i="1" s="1"/>
  <c r="DA13" i="1"/>
  <c r="DA12" i="1" s="1"/>
  <c r="CU13" i="1"/>
  <c r="CU12" i="1" s="1"/>
  <c r="CI13" i="1"/>
  <c r="CI12" i="1" s="1"/>
  <c r="CC13" i="1"/>
  <c r="BW13" i="1"/>
  <c r="BW12" i="1" s="1"/>
  <c r="BQ13" i="1"/>
  <c r="BQ12" i="1" s="1"/>
  <c r="BK13" i="1"/>
  <c r="BK12" i="1" s="1"/>
  <c r="BE13" i="1"/>
  <c r="BE12" i="1" s="1"/>
  <c r="AY13" i="1"/>
  <c r="AY12" i="1" s="1"/>
  <c r="AS13" i="1"/>
  <c r="AS12" i="1" s="1"/>
  <c r="AM13" i="1"/>
  <c r="AM12" i="1" s="1"/>
  <c r="AG13" i="1"/>
  <c r="AG12" i="1" s="1"/>
  <c r="AA13" i="1"/>
  <c r="AA12" i="1" s="1"/>
  <c r="U13" i="1"/>
  <c r="U12" i="1" s="1"/>
  <c r="O13" i="1"/>
  <c r="O12" i="1" s="1"/>
  <c r="I13" i="1"/>
  <c r="FQ13" i="1"/>
  <c r="FQ12" i="1" s="1"/>
  <c r="DU13" i="1"/>
  <c r="EF12" i="1"/>
  <c r="DR12" i="1"/>
  <c r="CP12" i="1"/>
  <c r="BN12" i="1"/>
  <c r="R12" i="1"/>
  <c r="BJ12" i="1"/>
  <c r="AT12" i="1"/>
  <c r="BL12" i="1"/>
  <c r="BH12" i="1"/>
  <c r="AR12" i="1"/>
  <c r="AF12" i="1"/>
  <c r="L12" i="1"/>
  <c r="AX12" i="1"/>
  <c r="AH12" i="1"/>
  <c r="BF12" i="1"/>
  <c r="Z12" i="1"/>
  <c r="J12" i="1"/>
  <c r="BG12" i="1"/>
  <c r="BC12" i="1"/>
  <c r="AQ12" i="1"/>
  <c r="W12" i="1"/>
  <c r="K12" i="1"/>
  <c r="G12" i="1"/>
  <c r="DN12" i="1"/>
  <c r="ED12" i="1"/>
  <c r="ET12" i="1"/>
  <c r="CH12" i="1"/>
  <c r="BR12" i="1"/>
  <c r="BB12" i="1"/>
  <c r="AL12" i="1"/>
  <c r="V12" i="1"/>
  <c r="F12" i="1"/>
  <c r="FM12" i="1"/>
  <c r="FE12" i="1"/>
  <c r="EW12" i="1"/>
  <c r="ES12" i="1"/>
  <c r="EO12" i="1"/>
  <c r="EG12" i="1"/>
  <c r="EC12" i="1"/>
  <c r="DQ12" i="1"/>
  <c r="DI12" i="1"/>
  <c r="CW12" i="1"/>
  <c r="CS12" i="1"/>
  <c r="CK12" i="1"/>
  <c r="CG12" i="1"/>
  <c r="CC12" i="1"/>
  <c r="BY12" i="1"/>
  <c r="BU12" i="1"/>
  <c r="BM12" i="1"/>
  <c r="BI12" i="1"/>
  <c r="BA12" i="1"/>
  <c r="AW12" i="1"/>
  <c r="AO12" i="1"/>
  <c r="AK12" i="1"/>
  <c r="AC12" i="1"/>
  <c r="Y12" i="1"/>
  <c r="Q12" i="1"/>
  <c r="M12" i="1"/>
  <c r="EK12" i="1"/>
  <c r="DU12" i="1"/>
  <c r="CO12" i="1"/>
  <c r="AD12" i="1"/>
  <c r="N12" i="1"/>
  <c r="D26" i="1"/>
  <c r="E43" i="1"/>
  <c r="E12" i="1" s="1"/>
  <c r="D13" i="1" l="1"/>
  <c r="I12" i="1"/>
  <c r="D12" i="1" s="1"/>
  <c r="D43" i="1"/>
  <c r="D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ID#AAAAcNFvP_g
Thay đổi tên thôn tương ứng</t>
        </r>
      </text>
    </comment>
    <comment ref="E1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ID#AAAAcNFvP_k
Thay đổi mã thôn tương ứng, được căn cứ để upload số liệu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lze8cQXFPklILhQCZQ1ktYaN+OQ=="/>
    </ext>
  </extLst>
</comments>
</file>

<file path=xl/sharedStrings.xml><?xml version="1.0" encoding="utf-8"?>
<sst xmlns="http://schemas.openxmlformats.org/spreadsheetml/2006/main" count="329" uniqueCount="315">
  <si>
    <t>Biểu số: 01/NHCS-KH</t>
  </si>
  <si>
    <t xml:space="preserve">Đơn vị: triệu đồng, hộ, người     </t>
  </si>
  <si>
    <t>TT</t>
  </si>
  <si>
    <t>CHỈ TIÊU</t>
  </si>
  <si>
    <t>Tổng số</t>
  </si>
  <si>
    <t>Trong đó</t>
  </si>
  <si>
    <t>dwh_1</t>
  </si>
  <si>
    <t>dwh_2</t>
  </si>
  <si>
    <t>dwh_3</t>
  </si>
  <si>
    <t>dwh_4</t>
  </si>
  <si>
    <t>dwh_5</t>
  </si>
  <si>
    <t>dwh_6</t>
  </si>
  <si>
    <t>dwh_7</t>
  </si>
  <si>
    <t>dwh_8</t>
  </si>
  <si>
    <t>dwh_9</t>
  </si>
  <si>
    <t>dwh_10</t>
  </si>
  <si>
    <t>dwh_11</t>
  </si>
  <si>
    <t>dwh_12</t>
  </si>
  <si>
    <t>dwh_13</t>
  </si>
  <si>
    <t>dwh_14</t>
  </si>
  <si>
    <t>dwh_15</t>
  </si>
  <si>
    <t>dwh_16</t>
  </si>
  <si>
    <t>dwh_17</t>
  </si>
  <si>
    <t>dwh_18</t>
  </si>
  <si>
    <t>dwh_19</t>
  </si>
  <si>
    <t>dwh_20</t>
  </si>
  <si>
    <t>dwh_21</t>
  </si>
  <si>
    <t>dwh_22</t>
  </si>
  <si>
    <t>dwh_23</t>
  </si>
  <si>
    <t>dwh_24</t>
  </si>
  <si>
    <t>dwh_25</t>
  </si>
  <si>
    <t>dwh_26</t>
  </si>
  <si>
    <t>dwh_27</t>
  </si>
  <si>
    <t>dwh_28</t>
  </si>
  <si>
    <t>dwh_29</t>
  </si>
  <si>
    <t>dwh_30</t>
  </si>
  <si>
    <t>dwh_31</t>
  </si>
  <si>
    <t>dwh_32</t>
  </si>
  <si>
    <t>dwh_33</t>
  </si>
  <si>
    <t>dwh_34</t>
  </si>
  <si>
    <t>dwh_35</t>
  </si>
  <si>
    <t>dwh_36</t>
  </si>
  <si>
    <t>dwh_37</t>
  </si>
  <si>
    <t>dwh_38</t>
  </si>
  <si>
    <t>dwh_39</t>
  </si>
  <si>
    <t>dwh_40</t>
  </si>
  <si>
    <t>dwh_41</t>
  </si>
  <si>
    <t>dwh_42</t>
  </si>
  <si>
    <t>dwh_43</t>
  </si>
  <si>
    <t>dwh_44</t>
  </si>
  <si>
    <t>dwh_45</t>
  </si>
  <si>
    <t>dwh_46</t>
  </si>
  <si>
    <t>dwh_47</t>
  </si>
  <si>
    <t>dwh_48</t>
  </si>
  <si>
    <t>dwh_49</t>
  </si>
  <si>
    <t>dwh_50</t>
  </si>
  <si>
    <t>dwh_51</t>
  </si>
  <si>
    <t>dwh_52</t>
  </si>
  <si>
    <t>dwh_53</t>
  </si>
  <si>
    <t>dwh_54</t>
  </si>
  <si>
    <t>dwh_55</t>
  </si>
  <si>
    <t>dwh_56</t>
  </si>
  <si>
    <t>dwh_57</t>
  </si>
  <si>
    <t>dwh_58</t>
  </si>
  <si>
    <t>dwh_59</t>
  </si>
  <si>
    <t>dwh_60</t>
  </si>
  <si>
    <t>dwh_61</t>
  </si>
  <si>
    <t>dwh_62</t>
  </si>
  <si>
    <t>dwh_63</t>
  </si>
  <si>
    <t>dwh_64</t>
  </si>
  <si>
    <t>dwh_65</t>
  </si>
  <si>
    <t>dwh_66</t>
  </si>
  <si>
    <t>dwh_67</t>
  </si>
  <si>
    <t>dwh_68</t>
  </si>
  <si>
    <t>dwh_69</t>
  </si>
  <si>
    <t>dwh_70</t>
  </si>
  <si>
    <t>dwh_71</t>
  </si>
  <si>
    <t>dwh_72</t>
  </si>
  <si>
    <t>dwh_73</t>
  </si>
  <si>
    <t>dwh_74</t>
  </si>
  <si>
    <t>dwh_75</t>
  </si>
  <si>
    <t>dwh_76</t>
  </si>
  <si>
    <t>dwh_77</t>
  </si>
  <si>
    <t>dwh_78</t>
  </si>
  <si>
    <t>dwh_79</t>
  </si>
  <si>
    <t>dwh_80</t>
  </si>
  <si>
    <t>dwh_81</t>
  </si>
  <si>
    <t>dwh_82</t>
  </si>
  <si>
    <t>dwh_83</t>
  </si>
  <si>
    <t>dwh_84</t>
  </si>
  <si>
    <t>dwh_85</t>
  </si>
  <si>
    <t>dwh_86</t>
  </si>
  <si>
    <t>dwh_87</t>
  </si>
  <si>
    <t>dwh_88</t>
  </si>
  <si>
    <t>dwh_89</t>
  </si>
  <si>
    <t>dwh_90</t>
  </si>
  <si>
    <t>dwh_91</t>
  </si>
  <si>
    <t>dwh_92</t>
  </si>
  <si>
    <t>dwh_93</t>
  </si>
  <si>
    <t>dwh_94</t>
  </si>
  <si>
    <t>dwh_95</t>
  </si>
  <si>
    <t>dwh_96</t>
  </si>
  <si>
    <t>dwh_97</t>
  </si>
  <si>
    <t>dwh_98</t>
  </si>
  <si>
    <t>dwh_99</t>
  </si>
  <si>
    <t>dwh_100</t>
  </si>
  <si>
    <t>dwh_101</t>
  </si>
  <si>
    <t>dwh_102</t>
  </si>
  <si>
    <t>dwh_103</t>
  </si>
  <si>
    <t>dwh_104</t>
  </si>
  <si>
    <t>dwh_105</t>
  </si>
  <si>
    <t>dwh_106</t>
  </si>
  <si>
    <t>dwh_107</t>
  </si>
  <si>
    <t>dwh_108</t>
  </si>
  <si>
    <t>dwh_109</t>
  </si>
  <si>
    <t>dwh_110</t>
  </si>
  <si>
    <t>dwh_111</t>
  </si>
  <si>
    <t>dwh_112</t>
  </si>
  <si>
    <t>dwh_113</t>
  </si>
  <si>
    <t>dwh_114</t>
  </si>
  <si>
    <t>dwh_115</t>
  </si>
  <si>
    <t>dwh_116</t>
  </si>
  <si>
    <t>dwh_117</t>
  </si>
  <si>
    <t>dwh_118</t>
  </si>
  <si>
    <t>dwh_119</t>
  </si>
  <si>
    <t>dwh_120</t>
  </si>
  <si>
    <t>dwh_121</t>
  </si>
  <si>
    <t>dwh_122</t>
  </si>
  <si>
    <t>dwh_123</t>
  </si>
  <si>
    <t>dwh_124</t>
  </si>
  <si>
    <t>dwh_125</t>
  </si>
  <si>
    <t>dwh_126</t>
  </si>
  <si>
    <t>dwh_127</t>
  </si>
  <si>
    <t>dwh_128</t>
  </si>
  <si>
    <t>dwh_129</t>
  </si>
  <si>
    <t>dwh_130</t>
  </si>
  <si>
    <t>dwh_131</t>
  </si>
  <si>
    <t>dwh_132</t>
  </si>
  <si>
    <t>dwh_133</t>
  </si>
  <si>
    <t>dwh_134</t>
  </si>
  <si>
    <t>dwh_135</t>
  </si>
  <si>
    <t>dwh_136</t>
  </si>
  <si>
    <t>dwh_137</t>
  </si>
  <si>
    <t>dwh_138</t>
  </si>
  <si>
    <t>dwh_139</t>
  </si>
  <si>
    <t>dwh_140</t>
  </si>
  <si>
    <t>dwh_141</t>
  </si>
  <si>
    <t>dwh_142</t>
  </si>
  <si>
    <t>dwh_143</t>
  </si>
  <si>
    <t>dwh_144</t>
  </si>
  <si>
    <t>dwh_145</t>
  </si>
  <si>
    <t>dwh_146</t>
  </si>
  <si>
    <t>dwh_147</t>
  </si>
  <si>
    <t>dwh_148</t>
  </si>
  <si>
    <t>dwh_149</t>
  </si>
  <si>
    <t>dwh_150</t>
  </si>
  <si>
    <t>dwh_151</t>
  </si>
  <si>
    <t>dwh_152</t>
  </si>
  <si>
    <t>dwh_153</t>
  </si>
  <si>
    <t>dwh_154</t>
  </si>
  <si>
    <t>dwh_155</t>
  </si>
  <si>
    <t>dwh_156</t>
  </si>
  <si>
    <t>dwh_157</t>
  </si>
  <si>
    <t>dwh_158</t>
  </si>
  <si>
    <t>dwh_159</t>
  </si>
  <si>
    <t>dwh_160</t>
  </si>
  <si>
    <t>dwh_161</t>
  </si>
  <si>
    <t>dwh_162</t>
  </si>
  <si>
    <t>dwh_163</t>
  </si>
  <si>
    <t>dwh_164</t>
  </si>
  <si>
    <t>dwh_165</t>
  </si>
  <si>
    <t>dwh_166</t>
  </si>
  <si>
    <t>dwh_167</t>
  </si>
  <si>
    <t>dwh_168</t>
  </si>
  <si>
    <t>dwh_169</t>
  </si>
  <si>
    <t>dwh_170</t>
  </si>
  <si>
    <t>dwh_171</t>
  </si>
  <si>
    <t>dwh_172</t>
  </si>
  <si>
    <t>dwh_173</t>
  </si>
  <si>
    <t>dwh_174</t>
  </si>
  <si>
    <t>dwh_175</t>
  </si>
  <si>
    <t>dwh_176</t>
  </si>
  <si>
    <t>dwh_177</t>
  </si>
  <si>
    <t>dwh_178</t>
  </si>
  <si>
    <t>dwh_179</t>
  </si>
  <si>
    <t>dwh_180</t>
  </si>
  <si>
    <t>C000000</t>
  </si>
  <si>
    <t>X</t>
  </si>
  <si>
    <t>Mã thôn</t>
  </si>
  <si>
    <t>XD00000</t>
  </si>
  <si>
    <t>XD00010</t>
  </si>
  <si>
    <t>XD00011</t>
  </si>
  <si>
    <t>XD00012</t>
  </si>
  <si>
    <t>XD00013</t>
  </si>
  <si>
    <t>XD00014</t>
  </si>
  <si>
    <t>XD00015</t>
  </si>
  <si>
    <t>XD00016</t>
  </si>
  <si>
    <t>XD00017</t>
  </si>
  <si>
    <t>XD00018</t>
  </si>
  <si>
    <t>XD00019</t>
  </si>
  <si>
    <t>XD00020</t>
  </si>
  <si>
    <t>XD00021</t>
  </si>
  <si>
    <t>XD00022</t>
  </si>
  <si>
    <t>XD00023</t>
  </si>
  <si>
    <t>XD00024</t>
  </si>
  <si>
    <t>XD00025</t>
  </si>
  <si>
    <t>XD00027</t>
  </si>
  <si>
    <t>XD00028</t>
  </si>
  <si>
    <t>XD00029</t>
  </si>
  <si>
    <t>XD00030</t>
  </si>
  <si>
    <t>XD00031</t>
  </si>
  <si>
    <t>XD00032</t>
  </si>
  <si>
    <t>XD00033</t>
  </si>
  <si>
    <t>XD00034</t>
  </si>
  <si>
    <t>XD00035</t>
  </si>
  <si>
    <t>XD00036</t>
  </si>
  <si>
    <t>- Cho vay dự án NIPPON (Mở rộng tài chính cho người khuyết tật)</t>
  </si>
  <si>
    <t>XD00037</t>
  </si>
  <si>
    <t>XD00038</t>
  </si>
  <si>
    <t>XD00039</t>
  </si>
  <si>
    <t>XD00040</t>
  </si>
  <si>
    <t>XD00041</t>
  </si>
  <si>
    <t>XD00044</t>
  </si>
  <si>
    <t>XD00045</t>
  </si>
  <si>
    <t>XD00046</t>
  </si>
  <si>
    <t>XD00047</t>
  </si>
  <si>
    <t>XD00048</t>
  </si>
  <si>
    <t>XD00049</t>
  </si>
  <si>
    <t>XD00050</t>
  </si>
  <si>
    <t>XD00051</t>
  </si>
  <si>
    <t>XD00052</t>
  </si>
  <si>
    <t>XD00053</t>
  </si>
  <si>
    <t>XD00054</t>
  </si>
  <si>
    <t>XD00056</t>
  </si>
  <si>
    <t>XD00057</t>
  </si>
  <si>
    <t>XD00058</t>
  </si>
  <si>
    <t>XD00059</t>
  </si>
  <si>
    <t>XD00060</t>
  </si>
  <si>
    <t>XD00061</t>
  </si>
  <si>
    <t>XD00063</t>
  </si>
  <si>
    <t>THUYẾT MINH MỘT SỐ CHỈ TIÊU (Dự kiến năm kế hoạch)</t>
  </si>
  <si>
    <t>Số hộ dân cư trú trên địa bàn</t>
  </si>
  <si>
    <t>Số công trình NS&amp;VSMT NT dự kiến được xây dựng từ nguồn vốn vay NHCSXH</t>
  </si>
  <si>
    <t>I</t>
  </si>
  <si>
    <t>Cho vay hộ nghèo (theo NĐ 78/2002/NĐ-CP)</t>
  </si>
  <si>
    <t>Cho vay hộ cận nghèo (theo QĐ 15/2013/QĐ-TTg)</t>
  </si>
  <si>
    <t>Cho vay hộ mới thoát nghèo (theo QĐ 28/2015/QĐ-TTg)</t>
  </si>
  <si>
    <t>Cho vay học sinh, sinh viên có hoàn cảnh khó khăn (theo QĐ 157/2007/QĐ-TTg)</t>
  </si>
  <si>
    <t>Cho vay hỗ trợ tạo việc làm, duy trì và mở rộng việc làm từ nguồn vốn Quỹ quốc gia về việc làm (theo NĐ số 61/2015/NĐ-CP; NĐ số 74/2019/NĐ-CP)</t>
  </si>
  <si>
    <t>Cho vay hỗ trợ tạo việc làm, duy trì và mở rộng việc làm từ nguồn vốn NHCSXH huy động (theo NĐ số 61/2015/NĐ-CP; NĐ 74/2019/NĐ-CP)</t>
  </si>
  <si>
    <t>Cho vay người lao động đi làm việc ở nước ngoài (theo QĐ 365/QĐ-NHNN, QĐ 1465/QĐ-TTg, QĐ 63/2015/QĐ-TTg và NĐ 61/2015/NĐ-CP)</t>
  </si>
  <si>
    <t>XD0009</t>
  </si>
  <si>
    <t>Cho vay Chương trình NS&amp;VSMT NT (theo QĐ 62/2004/QĐ-TTg)</t>
  </si>
  <si>
    <t>Cho vay hộ gia đình SXKD tại VKK (theo QĐ 31/2007/QĐ-TTg)</t>
  </si>
  <si>
    <t>Cho vay thương nhân tại VKK (theo QĐ 92/2009/QĐ-TTg)</t>
  </si>
  <si>
    <t>Cho vay nhà ở vùng thường xuyên ngập lũ ĐBSCL</t>
  </si>
  <si>
    <t>Cho vay người chấp hành xong án phạt tù (theo QĐ 22/2023/QĐ-TTg)</t>
  </si>
  <si>
    <t>Cho vay nhà ở xã hội (theo NĐ 100/2015/NĐ-CP)</t>
  </si>
  <si>
    <t>- Mua, thuê mua nhà ở xã hội</t>
  </si>
  <si>
    <t>- Xây mới, cải tạo, sứa chữa nhà để ở</t>
  </si>
  <si>
    <t>Cho vay phát triển kinh tế - xã hội vùng đồng bào DTTS và miền núi (theo NĐ số 28/2022/NĐ-CP)</t>
  </si>
  <si>
    <t>Cho vay người sử dụng lao động để trả lương ngừng việc, trả lương phục hồi sản xuất (theo QĐ 23/2021/QĐ-TTg)</t>
  </si>
  <si>
    <t>Cho vay đối với học sinh, sinh viên có hoàn cảnh gia đình khó khăn để mua máy tính, thiết bị học tập trực tuyến (theo QĐ 09/2022/QĐ-TTg)</t>
  </si>
  <si>
    <t>Cho vay đối với các cơ sở giáo dục mầm non, tiểu học ngoài công lập (theo QĐ 11/2022/QĐ-TTg)</t>
  </si>
  <si>
    <t>Cho vay hộ đồng bào dân tộc thiểu số (theo QĐ 32/2007/QĐ-TTg, QĐ 54/2012/QĐ-TTg, QĐ 74/2008/QĐ-TTg, QĐ 29/2013/QĐ-TTg, QĐ 1592/QĐ-TTg, QĐ 755/QĐ-TTg, QĐ 2085/QĐ-TTg)</t>
  </si>
  <si>
    <t>Cho vay trồng rừng sản xuất, phát triển chăn nuôi (theo NĐ 75/2015/NĐ-CP)</t>
  </si>
  <si>
    <t>Cho vay hỗ trợ hộ nghèo về nhà ở (theo QĐ 167/2008/QĐ-TTg, QĐ 33/2015/QĐ-TTg, QĐ 716/QĐ-TTg, QĐ 48/2014/QĐ-TTg)</t>
  </si>
  <si>
    <t>Cho vay một số dự án vốn nước ngoài</t>
  </si>
  <si>
    <t>- Cho vay dự án IFAD</t>
  </si>
  <si>
    <t>XD00026</t>
  </si>
  <si>
    <t>- Cho vay dự án KFW (Phát triển DN vừa và nhỏ)</t>
  </si>
  <si>
    <t>- Cho vay dự án FSDP (Phát triển ngành Lâm nghiệp)</t>
  </si>
  <si>
    <t>- Cho vay dự án khác (RIDP, CWPD, HIV/AIDS, khác)</t>
  </si>
  <si>
    <t>22</t>
  </si>
  <si>
    <t>Cho vay các chương trình khác</t>
  </si>
  <si>
    <t>II</t>
  </si>
  <si>
    <t>NHU CẦU VAY VỐN TỪ NGUỒN VỐN ĐỊA PHƯƠNG</t>
  </si>
  <si>
    <t>Cho vay hỗ trợ tạo việc làm, duy trì và mở rộng việc làm (theo NĐ số 61/2015/NĐ-CP; NĐ 74/2019/NĐ-CP)</t>
  </si>
  <si>
    <t>XD00042</t>
  </si>
  <si>
    <t>XD00043</t>
  </si>
  <si>
    <t>Số hộ dân là hộ đồng bào dân tộc thiểu số</t>
  </si>
  <si>
    <t>Số hộ là DTTS đủ điều kiện vay vốn nhưng chưa được vay vốn NHCSXH</t>
  </si>
  <si>
    <t>Số hộ nghèo đủ điều kiện vay vốn nhưng chưa được vay vốn NHCSXH</t>
  </si>
  <si>
    <t>Số hộ cận nghèo đủ điều kiện vay vốn nhưng chưa được vay vốn NHCSXH</t>
  </si>
  <si>
    <t>Số hộ mới thoát nghèo đủ điều kiện vay vốn nhưng chưa được vay vốn NHCSXH</t>
  </si>
  <si>
    <t>Số hộ gia đình sản xuất kinh doanh vùng khó khăn trên địa bàn có nhu cầu vay vốn</t>
  </si>
  <si>
    <t>Số thương nhân hoạt động thương mại tại vùng khó khăn có nhu cầu vay vốn</t>
  </si>
  <si>
    <t>Tổng số HSSV có hoàn cảnh khó khăn có nhu cầu vay vốn</t>
  </si>
  <si>
    <t>Số lao động có nhu cầu vay vốn giải quyết việc làm</t>
  </si>
  <si>
    <t>Số lao động có nhu cầu vay vốn đi lao động có thời hạn ở nước ngoài</t>
  </si>
  <si>
    <t>XD00062</t>
  </si>
  <si>
    <t>NHU CẦU VỐN TÍN DỤNG CHÍNH SÁCH NĂM 2025</t>
  </si>
  <si>
    <t>XÃ/PHƯỜNG/THỊ TRẤN: ……………………; QUẬN/HUYỆN: ……………………….; TỈNH/THÀNH PHỐ: ………………………</t>
  </si>
  <si>
    <t>NHU CẦU VAY VỐN TỪ NGUỒN VỐN TRUNG ƯƠNG</t>
  </si>
  <si>
    <t>Cho vay chương trình NS&amp;VSMT NT (theo QĐ 62/2004/QĐ-TTg)</t>
  </si>
  <si>
    <t>Số căn nhà ở xã hội dự kiến được mua/thuê mua, xây dựng/sửa chữa từ nguồn vốn vay NHCSXH</t>
  </si>
  <si>
    <t>Dự kiến nhu cầu vay vốn của hộ gia đình, cá nhân xây dựng nhà ở xã hội để cho thuê, cho thuê mua, bán</t>
  </si>
  <si>
    <t>XD00064</t>
  </si>
  <si>
    <t>XD00065</t>
  </si>
  <si>
    <t>XD00066</t>
  </si>
  <si>
    <t>XD00067</t>
  </si>
  <si>
    <t>XD00068</t>
  </si>
  <si>
    <t>XD00069</t>
  </si>
  <si>
    <t>XD00070</t>
  </si>
  <si>
    <t>XD00071</t>
  </si>
  <si>
    <t>XD00072</t>
  </si>
  <si>
    <t>XD00075</t>
  </si>
  <si>
    <t xml:space="preserve">CÁN BỘ TÍN DỤNG THEO DÕI ĐỊA BÀN
  (Ký, ghi rõ họ và tên)               
</t>
  </si>
  <si>
    <t xml:space="preserve">CHỦ TỊCH UBND XÃ/PHƯỜNG/THỊ TRẤN     
 (Ký tên, đóng dấu)    
</t>
  </si>
  <si>
    <t>B</t>
  </si>
  <si>
    <t>A</t>
  </si>
  <si>
    <t>TỔNG NHU CẦU VỐN TÍN DỤNG</t>
  </si>
  <si>
    <t>Số hộ mới thoát nghèo</t>
  </si>
  <si>
    <t>Số hộ nghèo theo chuẩn hộ nghèo</t>
  </si>
  <si>
    <t>Số hộ cận nghèo theo chuẩn hộ cận nghèo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</si>
</sst>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;@"/>
  </numFmts>
  <fonts count="20" x14ac:knownFonts="1">
    <font>
      <sz val="11"/>
      <color theme="1"/>
      <name val="Calibri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theme="6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theme="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0" fillId="4" borderId="21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9" fillId="4" borderId="21" xfId="0" quotePrefix="1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4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5" fillId="4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5" fillId="4" borderId="0" xfId="0" applyFont="1" applyFill="1" applyAlignment="1" applyProtection="1">
      <alignment vertical="center"/>
      <protection locked="0"/>
    </xf>
    <xf numFmtId="0" fontId="5" fillId="4" borderId="0" xfId="0" applyFont="1" applyFill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4" borderId="1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11" borderId="0" xfId="0" applyFill="1" applyProtection="1">
      <protection locked="0"/>
    </xf>
    <xf numFmtId="0" fontId="0" fillId="8" borderId="0" xfId="0" applyFill="1" applyProtection="1">
      <protection locked="0"/>
    </xf>
    <xf numFmtId="0" fontId="9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/>
    </xf>
    <xf numFmtId="3" fontId="10" fillId="4" borderId="21" xfId="0" applyNumberFormat="1" applyFont="1" applyFill="1" applyBorder="1" applyAlignment="1">
      <alignment horizontal="right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8" fillId="0" borderId="0" xfId="0" applyFont="1" applyProtection="1">
      <protection locked="0"/>
    </xf>
    <xf numFmtId="0" fontId="3" fillId="4" borderId="21" xfId="0" applyFont="1" applyFill="1" applyBorder="1" applyAlignment="1">
      <alignment horizontal="center" vertical="center" wrapText="1"/>
    </xf>
    <xf numFmtId="3" fontId="10" fillId="0" borderId="21" xfId="0" applyNumberFormat="1" applyFont="1" applyBorder="1" applyAlignment="1">
      <alignment horizontal="right" vertical="center" wrapText="1"/>
    </xf>
    <xf numFmtId="0" fontId="18" fillId="4" borderId="21" xfId="0" applyFont="1" applyFill="1" applyBorder="1" applyAlignment="1">
      <alignment horizontal="left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left" vertical="center" wrapText="1"/>
    </xf>
    <xf numFmtId="0" fontId="19" fillId="4" borderId="21" xfId="0" applyFont="1" applyFill="1" applyBorder="1" applyAlignment="1">
      <alignment horizontal="left" vertical="center" wrapText="1"/>
    </xf>
    <xf numFmtId="164" fontId="10" fillId="4" borderId="21" xfId="0" applyNumberFormat="1" applyFont="1" applyFill="1" applyBorder="1" applyAlignment="1">
      <alignment horizontal="right" vertical="center" wrapText="1"/>
    </xf>
    <xf numFmtId="164" fontId="9" fillId="0" borderId="11" xfId="0" applyNumberFormat="1" applyFont="1" applyBorder="1" applyAlignment="1" applyProtection="1">
      <alignment horizontal="right" vertical="center"/>
      <protection locked="0"/>
    </xf>
    <xf numFmtId="164" fontId="10" fillId="0" borderId="11" xfId="0" applyNumberFormat="1" applyFont="1" applyBorder="1" applyAlignment="1" applyProtection="1">
      <alignment horizontal="right" vertical="center"/>
      <protection locked="0"/>
    </xf>
    <xf numFmtId="164" fontId="10" fillId="0" borderId="15" xfId="0" applyNumberFormat="1" applyFont="1" applyBorder="1" applyAlignment="1" applyProtection="1">
      <alignment horizontal="right" vertical="center"/>
      <protection locked="0"/>
    </xf>
    <xf numFmtId="164" fontId="10" fillId="0" borderId="21" xfId="0" applyNumberFormat="1" applyFont="1" applyBorder="1" applyAlignment="1" applyProtection="1">
      <alignment horizontal="right" vertical="center" wrapText="1"/>
      <protection locked="0"/>
    </xf>
    <xf numFmtId="164" fontId="16" fillId="0" borderId="15" xfId="0" applyNumberFormat="1" applyFont="1" applyBorder="1" applyAlignment="1" applyProtection="1">
      <alignment horizontal="right" vertical="center"/>
      <protection locked="0"/>
    </xf>
    <xf numFmtId="164" fontId="10" fillId="4" borderId="13" xfId="0" applyNumberFormat="1" applyFont="1" applyFill="1" applyBorder="1" applyAlignment="1">
      <alignment horizontal="right" vertical="center" wrapText="1"/>
    </xf>
    <xf numFmtId="164" fontId="15" fillId="9" borderId="0" xfId="0" applyNumberFormat="1" applyFont="1" applyFill="1" applyAlignment="1" applyProtection="1">
      <alignment horizontal="right"/>
      <protection locked="0"/>
    </xf>
    <xf numFmtId="164" fontId="10" fillId="9" borderId="13" xfId="0" applyNumberFormat="1" applyFont="1" applyFill="1" applyBorder="1" applyAlignment="1" applyProtection="1">
      <alignment horizontal="right" vertical="center" wrapText="1"/>
      <protection locked="0"/>
    </xf>
    <xf numFmtId="164" fontId="9" fillId="9" borderId="14" xfId="0" applyNumberFormat="1" applyFont="1" applyFill="1" applyBorder="1" applyAlignment="1" applyProtection="1">
      <alignment horizontal="right" vertical="center"/>
      <protection locked="0"/>
    </xf>
    <xf numFmtId="164" fontId="9" fillId="9" borderId="11" xfId="0" applyNumberFormat="1" applyFont="1" applyFill="1" applyBorder="1" applyAlignment="1" applyProtection="1">
      <alignment horizontal="right" vertical="center"/>
      <protection locked="0"/>
    </xf>
    <xf numFmtId="164" fontId="9" fillId="9" borderId="13" xfId="0" applyNumberFormat="1" applyFont="1" applyFill="1" applyBorder="1" applyAlignment="1" applyProtection="1">
      <alignment horizontal="right" vertical="center"/>
      <protection locked="0"/>
    </xf>
    <xf numFmtId="164" fontId="9" fillId="0" borderId="15" xfId="0" applyNumberFormat="1" applyFont="1" applyBorder="1" applyAlignment="1" applyProtection="1">
      <alignment horizontal="right" vertical="center"/>
      <protection locked="0"/>
    </xf>
    <xf numFmtId="164" fontId="9" fillId="0" borderId="11" xfId="0" applyNumberFormat="1" applyFont="1" applyBorder="1" applyAlignment="1" applyProtection="1">
      <alignment horizontal="right" vertical="center" wrapText="1"/>
      <protection locked="0"/>
    </xf>
    <xf numFmtId="164" fontId="9" fillId="0" borderId="16" xfId="0" applyNumberFormat="1" applyFont="1" applyBorder="1" applyAlignment="1" applyProtection="1">
      <alignment horizontal="right" vertical="center"/>
      <protection locked="0"/>
    </xf>
    <xf numFmtId="164" fontId="9" fillId="0" borderId="17" xfId="0" applyNumberFormat="1" applyFont="1" applyBorder="1" applyAlignment="1" applyProtection="1">
      <alignment horizontal="right" vertical="center"/>
      <protection locked="0"/>
    </xf>
    <xf numFmtId="164" fontId="10" fillId="4" borderId="11" xfId="0" applyNumberFormat="1" applyFont="1" applyFill="1" applyBorder="1" applyAlignment="1">
      <alignment horizontal="right" vertical="center" wrapText="1"/>
    </xf>
    <xf numFmtId="164" fontId="10" fillId="9" borderId="11" xfId="0" applyNumberFormat="1" applyFont="1" applyFill="1" applyBorder="1" applyAlignment="1" applyProtection="1">
      <alignment horizontal="right" vertical="center"/>
      <protection locked="0"/>
    </xf>
    <xf numFmtId="164" fontId="9" fillId="0" borderId="18" xfId="0" applyNumberFormat="1" applyFont="1" applyBorder="1" applyAlignment="1" applyProtection="1">
      <alignment horizontal="right" vertical="center"/>
      <protection locked="0"/>
    </xf>
    <xf numFmtId="164" fontId="9" fillId="0" borderId="19" xfId="0" applyNumberFormat="1" applyFont="1" applyBorder="1" applyAlignment="1" applyProtection="1">
      <alignment horizontal="right" vertical="center"/>
      <protection locked="0"/>
    </xf>
    <xf numFmtId="164" fontId="10" fillId="0" borderId="16" xfId="0" applyNumberFormat="1" applyFont="1" applyBorder="1" applyAlignment="1" applyProtection="1">
      <alignment horizontal="right" vertical="center"/>
      <protection locked="0"/>
    </xf>
    <xf numFmtId="164" fontId="10" fillId="10" borderId="12" xfId="0" applyNumberFormat="1" applyFont="1" applyFill="1" applyBorder="1" applyAlignment="1" applyProtection="1">
      <alignment horizontal="right" vertical="center"/>
      <protection locked="0"/>
    </xf>
    <xf numFmtId="164" fontId="10" fillId="10" borderId="12" xfId="0" applyNumberFormat="1" applyFont="1" applyFill="1" applyBorder="1" applyAlignment="1" applyProtection="1">
      <alignment horizontal="right" vertical="center" wrapText="1"/>
      <protection locked="0"/>
    </xf>
    <xf numFmtId="164" fontId="9" fillId="10" borderId="20" xfId="0" applyNumberFormat="1" applyFont="1" applyFill="1" applyBorder="1" applyAlignment="1" applyProtection="1">
      <alignment horizontal="right" vertical="center"/>
      <protection locked="0"/>
    </xf>
    <xf numFmtId="164" fontId="9" fillId="10" borderId="12" xfId="0" applyNumberFormat="1" applyFont="1" applyFill="1" applyBorder="1" applyAlignment="1" applyProtection="1">
      <alignment horizontal="right" vertical="center"/>
      <protection locked="0"/>
    </xf>
    <xf numFmtId="164" fontId="9" fillId="10" borderId="9" xfId="0" applyNumberFormat="1" applyFont="1" applyFill="1" applyBorder="1" applyAlignment="1" applyProtection="1">
      <alignment horizontal="right" vertical="center"/>
      <protection locked="0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12" fillId="8" borderId="7" xfId="0" applyFont="1" applyFill="1" applyBorder="1"/>
    <xf numFmtId="0" fontId="12" fillId="8" borderId="8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6" xfId="0" applyFont="1" applyBorder="1"/>
    <xf numFmtId="164" fontId="10" fillId="4" borderId="21" xfId="0" applyNumberFormat="1" applyFont="1" applyFill="1" applyBorder="1" applyAlignment="1" applyProtection="1">
      <alignment horizontal="right" vertical="center" wrapText="1"/>
      <protection locked="0"/>
    </xf>
    <xf numFmtId="164" fontId="9" fillId="8" borderId="11" xfId="0" applyNumberFormat="1" applyFont="1" applyFill="1" applyBorder="1" applyAlignment="1" applyProtection="1">
      <alignment horizontal="right" vertical="center"/>
    </xf>
    <xf numFmtId="164" fontId="9" fillId="4" borderId="21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64"/>
  <sheetViews>
    <sheetView tabSelected="1" zoomScale="70" zoomScaleNormal="70" workbookViewId="0">
      <pane xSplit="4" ySplit="14" topLeftCell="E48" activePane="bottomRight" state="frozen"/>
      <selection pane="topRight" activeCell="E1" sqref="E1"/>
      <selection pane="bottomLeft" activeCell="A15" sqref="A15"/>
      <selection pane="bottomRight" activeCell="A56" sqref="A56"/>
    </sheetView>
  </sheetViews>
  <sheetFormatPr defaultColWidth="14.42578125" defaultRowHeight="15" customHeight="1" x14ac:dyDescent="0.25"/>
  <cols>
    <col min="1" max="1" width="13.7109375" style="10" customWidth="1"/>
    <col min="2" max="2" width="8.7109375" style="23" customWidth="1"/>
    <col min="3" max="3" width="80.85546875" style="23" customWidth="1"/>
    <col min="4" max="4" width="13.140625" style="23" customWidth="1"/>
    <col min="5" max="180" width="8.7109375" style="10" customWidth="1"/>
    <col min="181" max="16384" width="14.42578125" style="10"/>
  </cols>
  <sheetData>
    <row r="1" spans="1:180" ht="15.75" x14ac:dyDescent="0.25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2" t="s">
        <v>0</v>
      </c>
      <c r="FV1" s="73"/>
      <c r="FW1" s="73"/>
      <c r="FX1" s="73"/>
    </row>
    <row r="2" spans="1:180" ht="16.5" x14ac:dyDescent="0.25">
      <c r="A2" s="7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</row>
    <row r="3" spans="1:180" ht="18.75" x14ac:dyDescent="0.3">
      <c r="A3" s="7"/>
      <c r="B3" s="13"/>
      <c r="C3" s="13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</row>
    <row r="4" spans="1:180" ht="18.75" customHeight="1" x14ac:dyDescent="0.25">
      <c r="A4" s="7"/>
      <c r="B4" s="15" t="s">
        <v>291</v>
      </c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</row>
    <row r="5" spans="1:180" x14ac:dyDescent="0.25">
      <c r="A5" s="7"/>
      <c r="B5" s="18" t="s">
        <v>292</v>
      </c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</row>
    <row r="6" spans="1:180" ht="16.5" x14ac:dyDescent="0.25">
      <c r="A6" s="7"/>
      <c r="B6" s="20" t="s">
        <v>1</v>
      </c>
      <c r="C6" s="20"/>
      <c r="D6" s="20"/>
      <c r="E6" s="21"/>
      <c r="F6" s="21"/>
      <c r="G6" s="21"/>
      <c r="H6" s="21"/>
      <c r="I6" s="21"/>
      <c r="J6" s="21"/>
      <c r="K6" s="2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</row>
    <row r="7" spans="1:180" ht="15.75" x14ac:dyDescent="0.25">
      <c r="A7" s="24"/>
      <c r="B7" s="74" t="s">
        <v>2</v>
      </c>
      <c r="C7" s="74" t="s">
        <v>3</v>
      </c>
      <c r="D7" s="74" t="s">
        <v>4</v>
      </c>
      <c r="E7" s="77" t="s">
        <v>5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9"/>
    </row>
    <row r="8" spans="1:180" ht="15.75" x14ac:dyDescent="0.25">
      <c r="A8" s="25"/>
      <c r="B8" s="75"/>
      <c r="C8" s="75"/>
      <c r="D8" s="7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7"/>
      <c r="FR8" s="27"/>
      <c r="FS8" s="27"/>
      <c r="FT8" s="27"/>
      <c r="FU8" s="27"/>
      <c r="FV8" s="27"/>
      <c r="FW8" s="27"/>
      <c r="FX8" s="27"/>
    </row>
    <row r="9" spans="1:180" ht="15.75" x14ac:dyDescent="0.25">
      <c r="A9" s="24"/>
      <c r="B9" s="28">
        <v>1</v>
      </c>
      <c r="C9" s="28">
        <v>2</v>
      </c>
      <c r="D9" s="28">
        <v>3</v>
      </c>
      <c r="E9" s="29">
        <v>4</v>
      </c>
      <c r="F9" s="29">
        <v>5</v>
      </c>
      <c r="G9" s="29">
        <v>6</v>
      </c>
      <c r="H9" s="29">
        <v>7</v>
      </c>
      <c r="I9" s="29">
        <v>8</v>
      </c>
      <c r="J9" s="29"/>
      <c r="K9" s="29">
        <v>9</v>
      </c>
      <c r="L9" s="29">
        <v>10</v>
      </c>
      <c r="M9" s="29">
        <v>11</v>
      </c>
      <c r="N9" s="29">
        <v>12</v>
      </c>
      <c r="O9" s="29">
        <v>13</v>
      </c>
      <c r="P9" s="29">
        <v>14</v>
      </c>
      <c r="Q9" s="29">
        <v>15</v>
      </c>
      <c r="R9" s="29">
        <v>16</v>
      </c>
      <c r="S9" s="29">
        <v>17</v>
      </c>
      <c r="T9" s="29">
        <v>18</v>
      </c>
      <c r="U9" s="29">
        <v>19</v>
      </c>
      <c r="V9" s="29">
        <v>20</v>
      </c>
      <c r="W9" s="29">
        <v>21</v>
      </c>
      <c r="X9" s="29">
        <v>22</v>
      </c>
      <c r="Y9" s="29">
        <v>23</v>
      </c>
      <c r="Z9" s="29">
        <v>24</v>
      </c>
      <c r="AA9" s="29">
        <v>25</v>
      </c>
      <c r="AB9" s="29">
        <v>26</v>
      </c>
      <c r="AC9" s="29">
        <v>27</v>
      </c>
      <c r="AD9" s="29">
        <v>28</v>
      </c>
      <c r="AE9" s="29">
        <v>29</v>
      </c>
      <c r="AF9" s="29">
        <v>30</v>
      </c>
      <c r="AG9" s="29">
        <v>31</v>
      </c>
      <c r="AH9" s="29">
        <v>32</v>
      </c>
      <c r="AI9" s="29">
        <v>33</v>
      </c>
      <c r="AJ9" s="29">
        <v>34</v>
      </c>
      <c r="AK9" s="29">
        <v>35</v>
      </c>
      <c r="AL9" s="29">
        <v>36</v>
      </c>
      <c r="AM9" s="29">
        <v>37</v>
      </c>
      <c r="AN9" s="29">
        <v>38</v>
      </c>
      <c r="AO9" s="29">
        <v>39</v>
      </c>
      <c r="AP9" s="29">
        <v>40</v>
      </c>
      <c r="AQ9" s="29">
        <v>41</v>
      </c>
      <c r="AR9" s="29">
        <v>42</v>
      </c>
      <c r="AS9" s="29">
        <v>43</v>
      </c>
      <c r="AT9" s="29">
        <v>44</v>
      </c>
      <c r="AU9" s="29">
        <v>45</v>
      </c>
      <c r="AV9" s="29">
        <v>46</v>
      </c>
      <c r="AW9" s="29">
        <v>47</v>
      </c>
      <c r="AX9" s="29">
        <v>48</v>
      </c>
      <c r="AY9" s="29">
        <v>49</v>
      </c>
      <c r="AZ9" s="29">
        <v>50</v>
      </c>
      <c r="BA9" s="29">
        <v>51</v>
      </c>
      <c r="BB9" s="29">
        <v>52</v>
      </c>
      <c r="BC9" s="29">
        <v>53</v>
      </c>
      <c r="BD9" s="29">
        <v>54</v>
      </c>
      <c r="BE9" s="29">
        <v>55</v>
      </c>
      <c r="BF9" s="29">
        <v>56</v>
      </c>
      <c r="BG9" s="29">
        <v>57</v>
      </c>
      <c r="BH9" s="29">
        <v>58</v>
      </c>
      <c r="BI9" s="29">
        <v>59</v>
      </c>
      <c r="BJ9" s="29">
        <v>60</v>
      </c>
      <c r="BK9" s="29">
        <v>61</v>
      </c>
      <c r="BL9" s="29">
        <v>62</v>
      </c>
      <c r="BM9" s="29">
        <v>63</v>
      </c>
      <c r="BN9" s="29">
        <v>64</v>
      </c>
      <c r="BO9" s="29">
        <v>65</v>
      </c>
      <c r="BP9" s="29">
        <v>66</v>
      </c>
      <c r="BQ9" s="29">
        <v>67</v>
      </c>
      <c r="BR9" s="29">
        <v>68</v>
      </c>
      <c r="BS9" s="29">
        <v>69</v>
      </c>
      <c r="BT9" s="29">
        <v>70</v>
      </c>
      <c r="BU9" s="29">
        <v>71</v>
      </c>
      <c r="BV9" s="29">
        <v>72</v>
      </c>
      <c r="BW9" s="29">
        <v>73</v>
      </c>
      <c r="BX9" s="29">
        <v>74</v>
      </c>
      <c r="BY9" s="29">
        <v>75</v>
      </c>
      <c r="BZ9" s="29">
        <v>76</v>
      </c>
      <c r="CA9" s="29">
        <v>77</v>
      </c>
      <c r="CB9" s="29">
        <v>78</v>
      </c>
      <c r="CC9" s="29">
        <v>79</v>
      </c>
      <c r="CD9" s="29">
        <v>80</v>
      </c>
      <c r="CE9" s="29">
        <v>81</v>
      </c>
      <c r="CF9" s="29">
        <v>82</v>
      </c>
      <c r="CG9" s="29">
        <v>83</v>
      </c>
      <c r="CH9" s="29">
        <v>84</v>
      </c>
      <c r="CI9" s="29">
        <v>85</v>
      </c>
      <c r="CJ9" s="29">
        <v>86</v>
      </c>
      <c r="CK9" s="29">
        <v>87</v>
      </c>
      <c r="CL9" s="29">
        <v>88</v>
      </c>
      <c r="CM9" s="29">
        <v>89</v>
      </c>
      <c r="CN9" s="29">
        <v>90</v>
      </c>
      <c r="CO9" s="29">
        <v>91</v>
      </c>
      <c r="CP9" s="29">
        <v>92</v>
      </c>
      <c r="CQ9" s="29">
        <v>93</v>
      </c>
      <c r="CR9" s="29">
        <v>94</v>
      </c>
      <c r="CS9" s="29">
        <v>95</v>
      </c>
      <c r="CT9" s="29">
        <v>96</v>
      </c>
      <c r="CU9" s="29">
        <v>97</v>
      </c>
      <c r="CV9" s="29">
        <v>98</v>
      </c>
      <c r="CW9" s="29">
        <v>99</v>
      </c>
      <c r="CX9" s="29">
        <v>100</v>
      </c>
      <c r="CY9" s="29">
        <v>101</v>
      </c>
      <c r="CZ9" s="29">
        <v>102</v>
      </c>
      <c r="DA9" s="29">
        <v>103</v>
      </c>
      <c r="DB9" s="29">
        <v>104</v>
      </c>
      <c r="DC9" s="29">
        <v>105</v>
      </c>
      <c r="DD9" s="29">
        <v>106</v>
      </c>
      <c r="DE9" s="29">
        <v>107</v>
      </c>
      <c r="DF9" s="29">
        <v>108</v>
      </c>
      <c r="DG9" s="29">
        <v>109</v>
      </c>
      <c r="DH9" s="29">
        <v>110</v>
      </c>
      <c r="DI9" s="29">
        <v>111</v>
      </c>
      <c r="DJ9" s="29">
        <v>112</v>
      </c>
      <c r="DK9" s="29">
        <v>113</v>
      </c>
      <c r="DL9" s="29">
        <v>114</v>
      </c>
      <c r="DM9" s="29">
        <v>115</v>
      </c>
      <c r="DN9" s="29">
        <v>116</v>
      </c>
      <c r="DO9" s="29">
        <v>117</v>
      </c>
      <c r="DP9" s="29">
        <v>118</v>
      </c>
      <c r="DQ9" s="29">
        <v>119</v>
      </c>
      <c r="DR9" s="29">
        <v>120</v>
      </c>
      <c r="DS9" s="29">
        <v>121</v>
      </c>
      <c r="DT9" s="29">
        <v>122</v>
      </c>
      <c r="DU9" s="29">
        <v>123</v>
      </c>
      <c r="DV9" s="29">
        <v>124</v>
      </c>
      <c r="DW9" s="29">
        <v>125</v>
      </c>
      <c r="DX9" s="29">
        <v>126</v>
      </c>
      <c r="DY9" s="29">
        <v>127</v>
      </c>
      <c r="DZ9" s="29">
        <v>128</v>
      </c>
      <c r="EA9" s="29">
        <v>129</v>
      </c>
      <c r="EB9" s="29">
        <v>130</v>
      </c>
      <c r="EC9" s="29">
        <v>131</v>
      </c>
      <c r="ED9" s="29">
        <v>132</v>
      </c>
      <c r="EE9" s="29">
        <v>133</v>
      </c>
      <c r="EF9" s="29">
        <v>134</v>
      </c>
      <c r="EG9" s="29">
        <v>135</v>
      </c>
      <c r="EH9" s="29">
        <v>136</v>
      </c>
      <c r="EI9" s="29">
        <v>137</v>
      </c>
      <c r="EJ9" s="29">
        <v>138</v>
      </c>
      <c r="EK9" s="29">
        <v>139</v>
      </c>
      <c r="EL9" s="29">
        <v>140</v>
      </c>
      <c r="EM9" s="29">
        <v>141</v>
      </c>
      <c r="EN9" s="29">
        <v>142</v>
      </c>
      <c r="EO9" s="29">
        <v>143</v>
      </c>
      <c r="EP9" s="29">
        <v>144</v>
      </c>
      <c r="EQ9" s="29">
        <v>145</v>
      </c>
      <c r="ER9" s="29">
        <v>146</v>
      </c>
      <c r="ES9" s="29">
        <v>147</v>
      </c>
      <c r="ET9" s="29">
        <v>148</v>
      </c>
      <c r="EU9" s="29">
        <v>149</v>
      </c>
      <c r="EV9" s="29">
        <v>150</v>
      </c>
      <c r="EW9" s="29">
        <v>151</v>
      </c>
      <c r="EX9" s="29">
        <v>152</v>
      </c>
      <c r="EY9" s="29">
        <v>153</v>
      </c>
      <c r="EZ9" s="29">
        <v>154</v>
      </c>
      <c r="FA9" s="29">
        <v>155</v>
      </c>
      <c r="FB9" s="29">
        <v>156</v>
      </c>
      <c r="FC9" s="29">
        <v>157</v>
      </c>
      <c r="FD9" s="29">
        <v>158</v>
      </c>
      <c r="FE9" s="29">
        <v>159</v>
      </c>
      <c r="FF9" s="29">
        <v>160</v>
      </c>
      <c r="FG9" s="29">
        <v>161</v>
      </c>
      <c r="FH9" s="29">
        <v>162</v>
      </c>
      <c r="FI9" s="29">
        <v>163</v>
      </c>
      <c r="FJ9" s="29">
        <v>164</v>
      </c>
      <c r="FK9" s="29">
        <v>165</v>
      </c>
      <c r="FL9" s="29">
        <v>166</v>
      </c>
      <c r="FM9" s="29">
        <v>167</v>
      </c>
      <c r="FN9" s="29">
        <v>168</v>
      </c>
      <c r="FO9" s="29">
        <v>169</v>
      </c>
      <c r="FP9" s="29">
        <v>170</v>
      </c>
      <c r="FQ9" s="29">
        <v>171</v>
      </c>
      <c r="FR9" s="29">
        <v>172</v>
      </c>
      <c r="FS9" s="29">
        <v>173</v>
      </c>
      <c r="FT9" s="29">
        <v>174</v>
      </c>
      <c r="FU9" s="29">
        <v>175</v>
      </c>
      <c r="FV9" s="29">
        <v>176</v>
      </c>
      <c r="FW9" s="29">
        <v>177</v>
      </c>
      <c r="FX9" s="29">
        <v>178</v>
      </c>
    </row>
    <row r="10" spans="1:180" s="22" customFormat="1" ht="31.5" x14ac:dyDescent="0.25">
      <c r="A10" s="30" t="s">
        <v>6</v>
      </c>
      <c r="B10" s="31" t="s">
        <v>7</v>
      </c>
      <c r="C10" s="32" t="s">
        <v>8</v>
      </c>
      <c r="D10" s="32" t="s">
        <v>9</v>
      </c>
      <c r="E10" s="33" t="s">
        <v>10</v>
      </c>
      <c r="F10" s="30" t="s">
        <v>11</v>
      </c>
      <c r="G10" s="30" t="s">
        <v>12</v>
      </c>
      <c r="H10" s="33" t="s">
        <v>13</v>
      </c>
      <c r="I10" s="30" t="s">
        <v>14</v>
      </c>
      <c r="J10" s="30" t="s">
        <v>15</v>
      </c>
      <c r="K10" s="33" t="s">
        <v>16</v>
      </c>
      <c r="L10" s="30" t="s">
        <v>17</v>
      </c>
      <c r="M10" s="30" t="s">
        <v>18</v>
      </c>
      <c r="N10" s="33" t="s">
        <v>19</v>
      </c>
      <c r="O10" s="30" t="s">
        <v>20</v>
      </c>
      <c r="P10" s="30" t="s">
        <v>21</v>
      </c>
      <c r="Q10" s="33" t="s">
        <v>22</v>
      </c>
      <c r="R10" s="30" t="s">
        <v>23</v>
      </c>
      <c r="S10" s="30" t="s">
        <v>24</v>
      </c>
      <c r="T10" s="33" t="s">
        <v>25</v>
      </c>
      <c r="U10" s="30" t="s">
        <v>26</v>
      </c>
      <c r="V10" s="30" t="s">
        <v>27</v>
      </c>
      <c r="W10" s="33" t="s">
        <v>28</v>
      </c>
      <c r="X10" s="30" t="s">
        <v>29</v>
      </c>
      <c r="Y10" s="30" t="s">
        <v>30</v>
      </c>
      <c r="Z10" s="33" t="s">
        <v>31</v>
      </c>
      <c r="AA10" s="30" t="s">
        <v>32</v>
      </c>
      <c r="AB10" s="30" t="s">
        <v>33</v>
      </c>
      <c r="AC10" s="33" t="s">
        <v>34</v>
      </c>
      <c r="AD10" s="30" t="s">
        <v>35</v>
      </c>
      <c r="AE10" s="30" t="s">
        <v>36</v>
      </c>
      <c r="AF10" s="33" t="s">
        <v>37</v>
      </c>
      <c r="AG10" s="30" t="s">
        <v>38</v>
      </c>
      <c r="AH10" s="30" t="s">
        <v>39</v>
      </c>
      <c r="AI10" s="33" t="s">
        <v>40</v>
      </c>
      <c r="AJ10" s="30" t="s">
        <v>41</v>
      </c>
      <c r="AK10" s="30" t="s">
        <v>42</v>
      </c>
      <c r="AL10" s="33" t="s">
        <v>43</v>
      </c>
      <c r="AM10" s="30" t="s">
        <v>44</v>
      </c>
      <c r="AN10" s="30" t="s">
        <v>45</v>
      </c>
      <c r="AO10" s="33" t="s">
        <v>46</v>
      </c>
      <c r="AP10" s="30" t="s">
        <v>47</v>
      </c>
      <c r="AQ10" s="30" t="s">
        <v>48</v>
      </c>
      <c r="AR10" s="33" t="s">
        <v>49</v>
      </c>
      <c r="AS10" s="30" t="s">
        <v>50</v>
      </c>
      <c r="AT10" s="30" t="s">
        <v>51</v>
      </c>
      <c r="AU10" s="33" t="s">
        <v>52</v>
      </c>
      <c r="AV10" s="30" t="s">
        <v>53</v>
      </c>
      <c r="AW10" s="30" t="s">
        <v>54</v>
      </c>
      <c r="AX10" s="33" t="s">
        <v>55</v>
      </c>
      <c r="AY10" s="30" t="s">
        <v>56</v>
      </c>
      <c r="AZ10" s="30" t="s">
        <v>57</v>
      </c>
      <c r="BA10" s="33" t="s">
        <v>58</v>
      </c>
      <c r="BB10" s="30" t="s">
        <v>59</v>
      </c>
      <c r="BC10" s="30" t="s">
        <v>60</v>
      </c>
      <c r="BD10" s="33" t="s">
        <v>61</v>
      </c>
      <c r="BE10" s="30" t="s">
        <v>62</v>
      </c>
      <c r="BF10" s="30" t="s">
        <v>63</v>
      </c>
      <c r="BG10" s="33" t="s">
        <v>64</v>
      </c>
      <c r="BH10" s="30" t="s">
        <v>65</v>
      </c>
      <c r="BI10" s="30" t="s">
        <v>66</v>
      </c>
      <c r="BJ10" s="33" t="s">
        <v>67</v>
      </c>
      <c r="BK10" s="30" t="s">
        <v>68</v>
      </c>
      <c r="BL10" s="30" t="s">
        <v>69</v>
      </c>
      <c r="BM10" s="33" t="s">
        <v>70</v>
      </c>
      <c r="BN10" s="30" t="s">
        <v>71</v>
      </c>
      <c r="BO10" s="30" t="s">
        <v>72</v>
      </c>
      <c r="BP10" s="33" t="s">
        <v>73</v>
      </c>
      <c r="BQ10" s="30" t="s">
        <v>74</v>
      </c>
      <c r="BR10" s="30" t="s">
        <v>75</v>
      </c>
      <c r="BS10" s="33" t="s">
        <v>76</v>
      </c>
      <c r="BT10" s="30" t="s">
        <v>77</v>
      </c>
      <c r="BU10" s="30" t="s">
        <v>78</v>
      </c>
      <c r="BV10" s="33" t="s">
        <v>79</v>
      </c>
      <c r="BW10" s="30" t="s">
        <v>80</v>
      </c>
      <c r="BX10" s="30" t="s">
        <v>81</v>
      </c>
      <c r="BY10" s="33" t="s">
        <v>82</v>
      </c>
      <c r="BZ10" s="30" t="s">
        <v>83</v>
      </c>
      <c r="CA10" s="30" t="s">
        <v>84</v>
      </c>
      <c r="CB10" s="33" t="s">
        <v>85</v>
      </c>
      <c r="CC10" s="30" t="s">
        <v>86</v>
      </c>
      <c r="CD10" s="30" t="s">
        <v>87</v>
      </c>
      <c r="CE10" s="33" t="s">
        <v>88</v>
      </c>
      <c r="CF10" s="30" t="s">
        <v>89</v>
      </c>
      <c r="CG10" s="30" t="s">
        <v>90</v>
      </c>
      <c r="CH10" s="33" t="s">
        <v>91</v>
      </c>
      <c r="CI10" s="30" t="s">
        <v>92</v>
      </c>
      <c r="CJ10" s="30" t="s">
        <v>93</v>
      </c>
      <c r="CK10" s="33" t="s">
        <v>94</v>
      </c>
      <c r="CL10" s="30" t="s">
        <v>95</v>
      </c>
      <c r="CM10" s="30" t="s">
        <v>96</v>
      </c>
      <c r="CN10" s="33" t="s">
        <v>97</v>
      </c>
      <c r="CO10" s="30" t="s">
        <v>98</v>
      </c>
      <c r="CP10" s="30" t="s">
        <v>99</v>
      </c>
      <c r="CQ10" s="33" t="s">
        <v>100</v>
      </c>
      <c r="CR10" s="30" t="s">
        <v>101</v>
      </c>
      <c r="CS10" s="30" t="s">
        <v>102</v>
      </c>
      <c r="CT10" s="33" t="s">
        <v>103</v>
      </c>
      <c r="CU10" s="30" t="s">
        <v>104</v>
      </c>
      <c r="CV10" s="30" t="s">
        <v>105</v>
      </c>
      <c r="CW10" s="33" t="s">
        <v>106</v>
      </c>
      <c r="CX10" s="30" t="s">
        <v>107</v>
      </c>
      <c r="CY10" s="30" t="s">
        <v>108</v>
      </c>
      <c r="CZ10" s="33" t="s">
        <v>109</v>
      </c>
      <c r="DA10" s="30" t="s">
        <v>110</v>
      </c>
      <c r="DB10" s="30" t="s">
        <v>111</v>
      </c>
      <c r="DC10" s="33" t="s">
        <v>112</v>
      </c>
      <c r="DD10" s="30" t="s">
        <v>113</v>
      </c>
      <c r="DE10" s="30" t="s">
        <v>114</v>
      </c>
      <c r="DF10" s="33" t="s">
        <v>115</v>
      </c>
      <c r="DG10" s="30" t="s">
        <v>116</v>
      </c>
      <c r="DH10" s="30" t="s">
        <v>117</v>
      </c>
      <c r="DI10" s="33" t="s">
        <v>118</v>
      </c>
      <c r="DJ10" s="30" t="s">
        <v>119</v>
      </c>
      <c r="DK10" s="30" t="s">
        <v>120</v>
      </c>
      <c r="DL10" s="33" t="s">
        <v>121</v>
      </c>
      <c r="DM10" s="30" t="s">
        <v>122</v>
      </c>
      <c r="DN10" s="30" t="s">
        <v>123</v>
      </c>
      <c r="DO10" s="33" t="s">
        <v>124</v>
      </c>
      <c r="DP10" s="30" t="s">
        <v>125</v>
      </c>
      <c r="DQ10" s="30" t="s">
        <v>126</v>
      </c>
      <c r="DR10" s="33" t="s">
        <v>127</v>
      </c>
      <c r="DS10" s="30" t="s">
        <v>128</v>
      </c>
      <c r="DT10" s="30" t="s">
        <v>129</v>
      </c>
      <c r="DU10" s="33" t="s">
        <v>130</v>
      </c>
      <c r="DV10" s="30" t="s">
        <v>131</v>
      </c>
      <c r="DW10" s="30" t="s">
        <v>132</v>
      </c>
      <c r="DX10" s="33" t="s">
        <v>133</v>
      </c>
      <c r="DY10" s="30" t="s">
        <v>134</v>
      </c>
      <c r="DZ10" s="30" t="s">
        <v>135</v>
      </c>
      <c r="EA10" s="33" t="s">
        <v>136</v>
      </c>
      <c r="EB10" s="30" t="s">
        <v>137</v>
      </c>
      <c r="EC10" s="30" t="s">
        <v>138</v>
      </c>
      <c r="ED10" s="33" t="s">
        <v>139</v>
      </c>
      <c r="EE10" s="30" t="s">
        <v>140</v>
      </c>
      <c r="EF10" s="30" t="s">
        <v>141</v>
      </c>
      <c r="EG10" s="33" t="s">
        <v>142</v>
      </c>
      <c r="EH10" s="30" t="s">
        <v>143</v>
      </c>
      <c r="EI10" s="30" t="s">
        <v>144</v>
      </c>
      <c r="EJ10" s="33" t="s">
        <v>145</v>
      </c>
      <c r="EK10" s="30" t="s">
        <v>146</v>
      </c>
      <c r="EL10" s="30" t="s">
        <v>147</v>
      </c>
      <c r="EM10" s="33" t="s">
        <v>148</v>
      </c>
      <c r="EN10" s="30" t="s">
        <v>149</v>
      </c>
      <c r="EO10" s="30" t="s">
        <v>150</v>
      </c>
      <c r="EP10" s="33" t="s">
        <v>151</v>
      </c>
      <c r="EQ10" s="30" t="s">
        <v>152</v>
      </c>
      <c r="ER10" s="30" t="s">
        <v>153</v>
      </c>
      <c r="ES10" s="33" t="s">
        <v>154</v>
      </c>
      <c r="ET10" s="30" t="s">
        <v>155</v>
      </c>
      <c r="EU10" s="30" t="s">
        <v>156</v>
      </c>
      <c r="EV10" s="33" t="s">
        <v>157</v>
      </c>
      <c r="EW10" s="30" t="s">
        <v>158</v>
      </c>
      <c r="EX10" s="30" t="s">
        <v>159</v>
      </c>
      <c r="EY10" s="33" t="s">
        <v>160</v>
      </c>
      <c r="EZ10" s="30" t="s">
        <v>161</v>
      </c>
      <c r="FA10" s="30" t="s">
        <v>162</v>
      </c>
      <c r="FB10" s="33" t="s">
        <v>163</v>
      </c>
      <c r="FC10" s="30" t="s">
        <v>164</v>
      </c>
      <c r="FD10" s="30" t="s">
        <v>165</v>
      </c>
      <c r="FE10" s="33" t="s">
        <v>166</v>
      </c>
      <c r="FF10" s="30" t="s">
        <v>167</v>
      </c>
      <c r="FG10" s="30" t="s">
        <v>168</v>
      </c>
      <c r="FH10" s="33" t="s">
        <v>169</v>
      </c>
      <c r="FI10" s="30" t="s">
        <v>170</v>
      </c>
      <c r="FJ10" s="30" t="s">
        <v>171</v>
      </c>
      <c r="FK10" s="33" t="s">
        <v>172</v>
      </c>
      <c r="FL10" s="30" t="s">
        <v>173</v>
      </c>
      <c r="FM10" s="30" t="s">
        <v>174</v>
      </c>
      <c r="FN10" s="33" t="s">
        <v>175</v>
      </c>
      <c r="FO10" s="34" t="s">
        <v>176</v>
      </c>
      <c r="FP10" s="34" t="s">
        <v>177</v>
      </c>
      <c r="FQ10" s="34" t="s">
        <v>178</v>
      </c>
      <c r="FR10" s="34" t="s">
        <v>179</v>
      </c>
      <c r="FS10" s="34" t="s">
        <v>180</v>
      </c>
      <c r="FT10" s="34" t="s">
        <v>181</v>
      </c>
      <c r="FU10" s="34" t="s">
        <v>182</v>
      </c>
      <c r="FV10" s="34" t="s">
        <v>183</v>
      </c>
      <c r="FW10" s="34" t="s">
        <v>184</v>
      </c>
      <c r="FX10" s="34" t="s">
        <v>185</v>
      </c>
    </row>
    <row r="11" spans="1:180" s="22" customFormat="1" ht="15.75" x14ac:dyDescent="0.25">
      <c r="A11" s="5" t="s">
        <v>186</v>
      </c>
      <c r="B11" s="6" t="s">
        <v>187</v>
      </c>
      <c r="C11" s="40" t="s">
        <v>188</v>
      </c>
      <c r="D11" s="6" t="s">
        <v>187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7"/>
      <c r="FX11" s="27"/>
    </row>
    <row r="12" spans="1:180" s="22" customFormat="1" ht="15.75" x14ac:dyDescent="0.25">
      <c r="A12" s="1" t="s">
        <v>189</v>
      </c>
      <c r="B12" s="38" t="s">
        <v>310</v>
      </c>
      <c r="C12" s="41" t="s">
        <v>311</v>
      </c>
      <c r="D12" s="44">
        <f t="shared" ref="D12:D76" si="0">SUM(E12:FX12)</f>
        <v>0</v>
      </c>
      <c r="E12" s="44">
        <f>E13+E43</f>
        <v>0</v>
      </c>
      <c r="F12" s="44">
        <f t="shared" ref="F12:BQ12" si="1">F13+F43</f>
        <v>0</v>
      </c>
      <c r="G12" s="44">
        <f t="shared" si="1"/>
        <v>0</v>
      </c>
      <c r="H12" s="44">
        <f t="shared" si="1"/>
        <v>0</v>
      </c>
      <c r="I12" s="44">
        <f t="shared" si="1"/>
        <v>0</v>
      </c>
      <c r="J12" s="44">
        <f t="shared" si="1"/>
        <v>0</v>
      </c>
      <c r="K12" s="44">
        <f t="shared" si="1"/>
        <v>0</v>
      </c>
      <c r="L12" s="44">
        <f t="shared" si="1"/>
        <v>0</v>
      </c>
      <c r="M12" s="44">
        <f t="shared" si="1"/>
        <v>0</v>
      </c>
      <c r="N12" s="44">
        <f t="shared" si="1"/>
        <v>0</v>
      </c>
      <c r="O12" s="44">
        <f t="shared" si="1"/>
        <v>0</v>
      </c>
      <c r="P12" s="44">
        <f t="shared" si="1"/>
        <v>0</v>
      </c>
      <c r="Q12" s="44">
        <f t="shared" si="1"/>
        <v>0</v>
      </c>
      <c r="R12" s="44">
        <f t="shared" si="1"/>
        <v>0</v>
      </c>
      <c r="S12" s="44">
        <f t="shared" si="1"/>
        <v>0</v>
      </c>
      <c r="T12" s="44">
        <f t="shared" si="1"/>
        <v>0</v>
      </c>
      <c r="U12" s="44">
        <f t="shared" si="1"/>
        <v>0</v>
      </c>
      <c r="V12" s="44">
        <f t="shared" si="1"/>
        <v>0</v>
      </c>
      <c r="W12" s="44">
        <f t="shared" si="1"/>
        <v>0</v>
      </c>
      <c r="X12" s="44">
        <f t="shared" si="1"/>
        <v>0</v>
      </c>
      <c r="Y12" s="44">
        <f t="shared" si="1"/>
        <v>0</v>
      </c>
      <c r="Z12" s="44">
        <f t="shared" si="1"/>
        <v>0</v>
      </c>
      <c r="AA12" s="44">
        <f t="shared" si="1"/>
        <v>0</v>
      </c>
      <c r="AB12" s="44">
        <f t="shared" si="1"/>
        <v>0</v>
      </c>
      <c r="AC12" s="44">
        <f t="shared" si="1"/>
        <v>0</v>
      </c>
      <c r="AD12" s="44">
        <f t="shared" si="1"/>
        <v>0</v>
      </c>
      <c r="AE12" s="44">
        <f t="shared" si="1"/>
        <v>0</v>
      </c>
      <c r="AF12" s="44">
        <f t="shared" si="1"/>
        <v>0</v>
      </c>
      <c r="AG12" s="44">
        <f t="shared" si="1"/>
        <v>0</v>
      </c>
      <c r="AH12" s="44">
        <f t="shared" si="1"/>
        <v>0</v>
      </c>
      <c r="AI12" s="44">
        <f t="shared" si="1"/>
        <v>0</v>
      </c>
      <c r="AJ12" s="44">
        <f t="shared" si="1"/>
        <v>0</v>
      </c>
      <c r="AK12" s="44">
        <f t="shared" si="1"/>
        <v>0</v>
      </c>
      <c r="AL12" s="44">
        <f t="shared" si="1"/>
        <v>0</v>
      </c>
      <c r="AM12" s="44">
        <f t="shared" si="1"/>
        <v>0</v>
      </c>
      <c r="AN12" s="44">
        <f t="shared" si="1"/>
        <v>0</v>
      </c>
      <c r="AO12" s="44">
        <f t="shared" si="1"/>
        <v>0</v>
      </c>
      <c r="AP12" s="44">
        <f t="shared" si="1"/>
        <v>0</v>
      </c>
      <c r="AQ12" s="44">
        <f t="shared" si="1"/>
        <v>0</v>
      </c>
      <c r="AR12" s="44">
        <f t="shared" si="1"/>
        <v>0</v>
      </c>
      <c r="AS12" s="44">
        <f t="shared" si="1"/>
        <v>0</v>
      </c>
      <c r="AT12" s="44">
        <f t="shared" si="1"/>
        <v>0</v>
      </c>
      <c r="AU12" s="44">
        <f t="shared" si="1"/>
        <v>0</v>
      </c>
      <c r="AV12" s="44">
        <f t="shared" si="1"/>
        <v>0</v>
      </c>
      <c r="AW12" s="44">
        <f t="shared" si="1"/>
        <v>0</v>
      </c>
      <c r="AX12" s="44">
        <f t="shared" si="1"/>
        <v>0</v>
      </c>
      <c r="AY12" s="44">
        <f t="shared" si="1"/>
        <v>0</v>
      </c>
      <c r="AZ12" s="44">
        <f t="shared" si="1"/>
        <v>0</v>
      </c>
      <c r="BA12" s="44">
        <f t="shared" si="1"/>
        <v>0</v>
      </c>
      <c r="BB12" s="44">
        <f t="shared" si="1"/>
        <v>0</v>
      </c>
      <c r="BC12" s="44">
        <f t="shared" si="1"/>
        <v>0</v>
      </c>
      <c r="BD12" s="44">
        <f t="shared" si="1"/>
        <v>0</v>
      </c>
      <c r="BE12" s="44">
        <f t="shared" si="1"/>
        <v>0</v>
      </c>
      <c r="BF12" s="44">
        <f t="shared" si="1"/>
        <v>0</v>
      </c>
      <c r="BG12" s="44">
        <f t="shared" si="1"/>
        <v>0</v>
      </c>
      <c r="BH12" s="44">
        <f t="shared" si="1"/>
        <v>0</v>
      </c>
      <c r="BI12" s="44">
        <f t="shared" si="1"/>
        <v>0</v>
      </c>
      <c r="BJ12" s="44">
        <f t="shared" si="1"/>
        <v>0</v>
      </c>
      <c r="BK12" s="44">
        <f t="shared" si="1"/>
        <v>0</v>
      </c>
      <c r="BL12" s="44">
        <f t="shared" si="1"/>
        <v>0</v>
      </c>
      <c r="BM12" s="44">
        <f t="shared" si="1"/>
        <v>0</v>
      </c>
      <c r="BN12" s="44">
        <f t="shared" si="1"/>
        <v>0</v>
      </c>
      <c r="BO12" s="44">
        <f t="shared" si="1"/>
        <v>0</v>
      </c>
      <c r="BP12" s="44">
        <f t="shared" si="1"/>
        <v>0</v>
      </c>
      <c r="BQ12" s="44">
        <f t="shared" si="1"/>
        <v>0</v>
      </c>
      <c r="BR12" s="44">
        <f t="shared" ref="BR12:EC12" si="2">BR13+BR43</f>
        <v>0</v>
      </c>
      <c r="BS12" s="44">
        <f t="shared" si="2"/>
        <v>0</v>
      </c>
      <c r="BT12" s="44">
        <f t="shared" si="2"/>
        <v>0</v>
      </c>
      <c r="BU12" s="44">
        <f t="shared" si="2"/>
        <v>0</v>
      </c>
      <c r="BV12" s="44">
        <f t="shared" si="2"/>
        <v>0</v>
      </c>
      <c r="BW12" s="44">
        <f t="shared" si="2"/>
        <v>0</v>
      </c>
      <c r="BX12" s="44">
        <f t="shared" si="2"/>
        <v>0</v>
      </c>
      <c r="BY12" s="44">
        <f t="shared" si="2"/>
        <v>0</v>
      </c>
      <c r="BZ12" s="44">
        <f t="shared" si="2"/>
        <v>0</v>
      </c>
      <c r="CA12" s="44">
        <f t="shared" si="2"/>
        <v>0</v>
      </c>
      <c r="CB12" s="44">
        <f t="shared" si="2"/>
        <v>0</v>
      </c>
      <c r="CC12" s="44">
        <f t="shared" si="2"/>
        <v>0</v>
      </c>
      <c r="CD12" s="44">
        <f t="shared" si="2"/>
        <v>0</v>
      </c>
      <c r="CE12" s="44">
        <f t="shared" si="2"/>
        <v>0</v>
      </c>
      <c r="CF12" s="44">
        <f t="shared" si="2"/>
        <v>0</v>
      </c>
      <c r="CG12" s="44">
        <f t="shared" si="2"/>
        <v>0</v>
      </c>
      <c r="CH12" s="44">
        <f t="shared" si="2"/>
        <v>0</v>
      </c>
      <c r="CI12" s="44">
        <f t="shared" si="2"/>
        <v>0</v>
      </c>
      <c r="CJ12" s="44">
        <f t="shared" si="2"/>
        <v>0</v>
      </c>
      <c r="CK12" s="44">
        <f t="shared" si="2"/>
        <v>0</v>
      </c>
      <c r="CL12" s="44">
        <f t="shared" si="2"/>
        <v>0</v>
      </c>
      <c r="CM12" s="44">
        <f t="shared" si="2"/>
        <v>0</v>
      </c>
      <c r="CN12" s="44">
        <f t="shared" si="2"/>
        <v>0</v>
      </c>
      <c r="CO12" s="44">
        <f t="shared" si="2"/>
        <v>0</v>
      </c>
      <c r="CP12" s="44">
        <f t="shared" si="2"/>
        <v>0</v>
      </c>
      <c r="CQ12" s="44">
        <f t="shared" si="2"/>
        <v>0</v>
      </c>
      <c r="CR12" s="44">
        <f t="shared" si="2"/>
        <v>0</v>
      </c>
      <c r="CS12" s="44">
        <f t="shared" si="2"/>
        <v>0</v>
      </c>
      <c r="CT12" s="44">
        <f t="shared" si="2"/>
        <v>0</v>
      </c>
      <c r="CU12" s="44">
        <f t="shared" si="2"/>
        <v>0</v>
      </c>
      <c r="CV12" s="44">
        <f t="shared" si="2"/>
        <v>0</v>
      </c>
      <c r="CW12" s="44">
        <f t="shared" si="2"/>
        <v>0</v>
      </c>
      <c r="CX12" s="44">
        <f t="shared" si="2"/>
        <v>0</v>
      </c>
      <c r="CY12" s="44">
        <f t="shared" si="2"/>
        <v>0</v>
      </c>
      <c r="CZ12" s="44">
        <f t="shared" si="2"/>
        <v>0</v>
      </c>
      <c r="DA12" s="44">
        <f t="shared" si="2"/>
        <v>0</v>
      </c>
      <c r="DB12" s="44">
        <f t="shared" si="2"/>
        <v>0</v>
      </c>
      <c r="DC12" s="44">
        <f t="shared" si="2"/>
        <v>0</v>
      </c>
      <c r="DD12" s="44">
        <f t="shared" si="2"/>
        <v>0</v>
      </c>
      <c r="DE12" s="44">
        <f t="shared" si="2"/>
        <v>0</v>
      </c>
      <c r="DF12" s="44">
        <f t="shared" si="2"/>
        <v>0</v>
      </c>
      <c r="DG12" s="44">
        <f t="shared" si="2"/>
        <v>0</v>
      </c>
      <c r="DH12" s="44">
        <f t="shared" si="2"/>
        <v>0</v>
      </c>
      <c r="DI12" s="44">
        <f t="shared" si="2"/>
        <v>0</v>
      </c>
      <c r="DJ12" s="44">
        <f t="shared" si="2"/>
        <v>0</v>
      </c>
      <c r="DK12" s="44">
        <f t="shared" si="2"/>
        <v>0</v>
      </c>
      <c r="DL12" s="44">
        <f t="shared" si="2"/>
        <v>0</v>
      </c>
      <c r="DM12" s="44">
        <f t="shared" si="2"/>
        <v>0</v>
      </c>
      <c r="DN12" s="44">
        <f t="shared" si="2"/>
        <v>0</v>
      </c>
      <c r="DO12" s="44">
        <f t="shared" si="2"/>
        <v>0</v>
      </c>
      <c r="DP12" s="44">
        <f t="shared" si="2"/>
        <v>0</v>
      </c>
      <c r="DQ12" s="44">
        <f t="shared" si="2"/>
        <v>0</v>
      </c>
      <c r="DR12" s="44">
        <f t="shared" si="2"/>
        <v>0</v>
      </c>
      <c r="DS12" s="44">
        <f t="shared" si="2"/>
        <v>0</v>
      </c>
      <c r="DT12" s="44">
        <f t="shared" si="2"/>
        <v>0</v>
      </c>
      <c r="DU12" s="44">
        <f t="shared" si="2"/>
        <v>0</v>
      </c>
      <c r="DV12" s="44">
        <f t="shared" si="2"/>
        <v>0</v>
      </c>
      <c r="DW12" s="44">
        <f t="shared" si="2"/>
        <v>0</v>
      </c>
      <c r="DX12" s="44">
        <f t="shared" si="2"/>
        <v>0</v>
      </c>
      <c r="DY12" s="44">
        <f t="shared" si="2"/>
        <v>0</v>
      </c>
      <c r="DZ12" s="44">
        <f t="shared" si="2"/>
        <v>0</v>
      </c>
      <c r="EA12" s="44">
        <f t="shared" si="2"/>
        <v>0</v>
      </c>
      <c r="EB12" s="44">
        <f t="shared" si="2"/>
        <v>0</v>
      </c>
      <c r="EC12" s="44">
        <f t="shared" si="2"/>
        <v>0</v>
      </c>
      <c r="ED12" s="44">
        <f t="shared" ref="ED12:FX12" si="3">ED13+ED43</f>
        <v>0</v>
      </c>
      <c r="EE12" s="44">
        <f t="shared" si="3"/>
        <v>0</v>
      </c>
      <c r="EF12" s="44">
        <f t="shared" si="3"/>
        <v>0</v>
      </c>
      <c r="EG12" s="44">
        <f t="shared" si="3"/>
        <v>0</v>
      </c>
      <c r="EH12" s="44">
        <f t="shared" si="3"/>
        <v>0</v>
      </c>
      <c r="EI12" s="44">
        <f t="shared" si="3"/>
        <v>0</v>
      </c>
      <c r="EJ12" s="44">
        <f t="shared" si="3"/>
        <v>0</v>
      </c>
      <c r="EK12" s="44">
        <f t="shared" si="3"/>
        <v>0</v>
      </c>
      <c r="EL12" s="44">
        <f t="shared" si="3"/>
        <v>0</v>
      </c>
      <c r="EM12" s="44">
        <f t="shared" si="3"/>
        <v>0</v>
      </c>
      <c r="EN12" s="44">
        <f t="shared" si="3"/>
        <v>0</v>
      </c>
      <c r="EO12" s="44">
        <f t="shared" si="3"/>
        <v>0</v>
      </c>
      <c r="EP12" s="44">
        <f t="shared" si="3"/>
        <v>0</v>
      </c>
      <c r="EQ12" s="44">
        <f t="shared" si="3"/>
        <v>0</v>
      </c>
      <c r="ER12" s="44">
        <f t="shared" si="3"/>
        <v>0</v>
      </c>
      <c r="ES12" s="44">
        <f t="shared" si="3"/>
        <v>0</v>
      </c>
      <c r="ET12" s="44">
        <f t="shared" si="3"/>
        <v>0</v>
      </c>
      <c r="EU12" s="44">
        <f t="shared" si="3"/>
        <v>0</v>
      </c>
      <c r="EV12" s="44">
        <f t="shared" si="3"/>
        <v>0</v>
      </c>
      <c r="EW12" s="44">
        <f t="shared" si="3"/>
        <v>0</v>
      </c>
      <c r="EX12" s="44">
        <f t="shared" si="3"/>
        <v>0</v>
      </c>
      <c r="EY12" s="44">
        <f t="shared" si="3"/>
        <v>0</v>
      </c>
      <c r="EZ12" s="44">
        <f t="shared" si="3"/>
        <v>0</v>
      </c>
      <c r="FA12" s="44">
        <f t="shared" si="3"/>
        <v>0</v>
      </c>
      <c r="FB12" s="44">
        <f t="shared" si="3"/>
        <v>0</v>
      </c>
      <c r="FC12" s="44">
        <f t="shared" si="3"/>
        <v>0</v>
      </c>
      <c r="FD12" s="44">
        <f t="shared" si="3"/>
        <v>0</v>
      </c>
      <c r="FE12" s="44">
        <f t="shared" si="3"/>
        <v>0</v>
      </c>
      <c r="FF12" s="44">
        <f t="shared" si="3"/>
        <v>0</v>
      </c>
      <c r="FG12" s="44">
        <f t="shared" si="3"/>
        <v>0</v>
      </c>
      <c r="FH12" s="44">
        <f t="shared" si="3"/>
        <v>0</v>
      </c>
      <c r="FI12" s="44">
        <f t="shared" si="3"/>
        <v>0</v>
      </c>
      <c r="FJ12" s="44">
        <f t="shared" si="3"/>
        <v>0</v>
      </c>
      <c r="FK12" s="44">
        <f t="shared" si="3"/>
        <v>0</v>
      </c>
      <c r="FL12" s="44">
        <f t="shared" si="3"/>
        <v>0</v>
      </c>
      <c r="FM12" s="44">
        <f t="shared" si="3"/>
        <v>0</v>
      </c>
      <c r="FN12" s="44">
        <f t="shared" si="3"/>
        <v>0</v>
      </c>
      <c r="FO12" s="44">
        <f t="shared" si="3"/>
        <v>0</v>
      </c>
      <c r="FP12" s="44">
        <f t="shared" si="3"/>
        <v>0</v>
      </c>
      <c r="FQ12" s="44">
        <f t="shared" si="3"/>
        <v>0</v>
      </c>
      <c r="FR12" s="44">
        <f t="shared" si="3"/>
        <v>0</v>
      </c>
      <c r="FS12" s="44">
        <f t="shared" si="3"/>
        <v>0</v>
      </c>
      <c r="FT12" s="44">
        <f t="shared" si="3"/>
        <v>0</v>
      </c>
      <c r="FU12" s="44">
        <f t="shared" si="3"/>
        <v>0</v>
      </c>
      <c r="FV12" s="44">
        <f t="shared" si="3"/>
        <v>0</v>
      </c>
      <c r="FW12" s="44">
        <f t="shared" si="3"/>
        <v>0</v>
      </c>
      <c r="FX12" s="44">
        <f t="shared" si="3"/>
        <v>0</v>
      </c>
    </row>
    <row r="13" spans="1:180" s="22" customFormat="1" ht="15.75" x14ac:dyDescent="0.25">
      <c r="A13" s="1" t="s">
        <v>251</v>
      </c>
      <c r="B13" s="1" t="s">
        <v>243</v>
      </c>
      <c r="C13" s="42" t="s">
        <v>293</v>
      </c>
      <c r="D13" s="44">
        <f t="shared" si="0"/>
        <v>0</v>
      </c>
      <c r="E13" s="44">
        <f>SUM(E14:E26)+SUM(E29:E36)+E42</f>
        <v>0</v>
      </c>
      <c r="F13" s="50">
        <f t="shared" ref="F13:BQ13" si="4">SUM(F14:F26)+SUM(F29:F36)+F42</f>
        <v>0</v>
      </c>
      <c r="G13" s="50">
        <f t="shared" si="4"/>
        <v>0</v>
      </c>
      <c r="H13" s="50">
        <f t="shared" si="4"/>
        <v>0</v>
      </c>
      <c r="I13" s="50">
        <f t="shared" si="4"/>
        <v>0</v>
      </c>
      <c r="J13" s="50">
        <f t="shared" si="4"/>
        <v>0</v>
      </c>
      <c r="K13" s="50">
        <f t="shared" si="4"/>
        <v>0</v>
      </c>
      <c r="L13" s="50">
        <f t="shared" si="4"/>
        <v>0</v>
      </c>
      <c r="M13" s="50">
        <f t="shared" si="4"/>
        <v>0</v>
      </c>
      <c r="N13" s="50">
        <f t="shared" si="4"/>
        <v>0</v>
      </c>
      <c r="O13" s="50">
        <f t="shared" si="4"/>
        <v>0</v>
      </c>
      <c r="P13" s="50">
        <f t="shared" si="4"/>
        <v>0</v>
      </c>
      <c r="Q13" s="50">
        <f t="shared" si="4"/>
        <v>0</v>
      </c>
      <c r="R13" s="50">
        <f t="shared" si="4"/>
        <v>0</v>
      </c>
      <c r="S13" s="50">
        <f t="shared" si="4"/>
        <v>0</v>
      </c>
      <c r="T13" s="50">
        <f t="shared" si="4"/>
        <v>0</v>
      </c>
      <c r="U13" s="50">
        <f t="shared" si="4"/>
        <v>0</v>
      </c>
      <c r="V13" s="50">
        <f t="shared" si="4"/>
        <v>0</v>
      </c>
      <c r="W13" s="50">
        <f t="shared" si="4"/>
        <v>0</v>
      </c>
      <c r="X13" s="50">
        <f t="shared" si="4"/>
        <v>0</v>
      </c>
      <c r="Y13" s="50">
        <f t="shared" si="4"/>
        <v>0</v>
      </c>
      <c r="Z13" s="50">
        <f t="shared" si="4"/>
        <v>0</v>
      </c>
      <c r="AA13" s="50">
        <f t="shared" si="4"/>
        <v>0</v>
      </c>
      <c r="AB13" s="50">
        <f t="shared" si="4"/>
        <v>0</v>
      </c>
      <c r="AC13" s="50">
        <f t="shared" si="4"/>
        <v>0</v>
      </c>
      <c r="AD13" s="50">
        <f t="shared" si="4"/>
        <v>0</v>
      </c>
      <c r="AE13" s="50">
        <f t="shared" si="4"/>
        <v>0</v>
      </c>
      <c r="AF13" s="50">
        <f t="shared" si="4"/>
        <v>0</v>
      </c>
      <c r="AG13" s="50">
        <f t="shared" si="4"/>
        <v>0</v>
      </c>
      <c r="AH13" s="50">
        <f t="shared" si="4"/>
        <v>0</v>
      </c>
      <c r="AI13" s="50">
        <f t="shared" si="4"/>
        <v>0</v>
      </c>
      <c r="AJ13" s="50">
        <f t="shared" si="4"/>
        <v>0</v>
      </c>
      <c r="AK13" s="50">
        <f t="shared" si="4"/>
        <v>0</v>
      </c>
      <c r="AL13" s="50">
        <f t="shared" si="4"/>
        <v>0</v>
      </c>
      <c r="AM13" s="50">
        <f t="shared" si="4"/>
        <v>0</v>
      </c>
      <c r="AN13" s="50">
        <f t="shared" si="4"/>
        <v>0</v>
      </c>
      <c r="AO13" s="50">
        <f t="shared" si="4"/>
        <v>0</v>
      </c>
      <c r="AP13" s="50">
        <f t="shared" si="4"/>
        <v>0</v>
      </c>
      <c r="AQ13" s="50">
        <f t="shared" si="4"/>
        <v>0</v>
      </c>
      <c r="AR13" s="50">
        <f t="shared" si="4"/>
        <v>0</v>
      </c>
      <c r="AS13" s="50">
        <f t="shared" si="4"/>
        <v>0</v>
      </c>
      <c r="AT13" s="50">
        <f t="shared" si="4"/>
        <v>0</v>
      </c>
      <c r="AU13" s="50">
        <f t="shared" si="4"/>
        <v>0</v>
      </c>
      <c r="AV13" s="50">
        <f t="shared" si="4"/>
        <v>0</v>
      </c>
      <c r="AW13" s="50">
        <f t="shared" si="4"/>
        <v>0</v>
      </c>
      <c r="AX13" s="50">
        <f t="shared" si="4"/>
        <v>0</v>
      </c>
      <c r="AY13" s="50">
        <f t="shared" si="4"/>
        <v>0</v>
      </c>
      <c r="AZ13" s="50">
        <f t="shared" si="4"/>
        <v>0</v>
      </c>
      <c r="BA13" s="50">
        <f t="shared" si="4"/>
        <v>0</v>
      </c>
      <c r="BB13" s="50">
        <f t="shared" si="4"/>
        <v>0</v>
      </c>
      <c r="BC13" s="50">
        <f t="shared" si="4"/>
        <v>0</v>
      </c>
      <c r="BD13" s="50">
        <f t="shared" si="4"/>
        <v>0</v>
      </c>
      <c r="BE13" s="50">
        <f t="shared" si="4"/>
        <v>0</v>
      </c>
      <c r="BF13" s="50">
        <f t="shared" si="4"/>
        <v>0</v>
      </c>
      <c r="BG13" s="50">
        <f t="shared" si="4"/>
        <v>0</v>
      </c>
      <c r="BH13" s="50">
        <f t="shared" si="4"/>
        <v>0</v>
      </c>
      <c r="BI13" s="50">
        <f t="shared" si="4"/>
        <v>0</v>
      </c>
      <c r="BJ13" s="50">
        <f t="shared" si="4"/>
        <v>0</v>
      </c>
      <c r="BK13" s="50">
        <f t="shared" si="4"/>
        <v>0</v>
      </c>
      <c r="BL13" s="50">
        <f t="shared" si="4"/>
        <v>0</v>
      </c>
      <c r="BM13" s="50">
        <f t="shared" si="4"/>
        <v>0</v>
      </c>
      <c r="BN13" s="50">
        <f t="shared" si="4"/>
        <v>0</v>
      </c>
      <c r="BO13" s="50">
        <f t="shared" si="4"/>
        <v>0</v>
      </c>
      <c r="BP13" s="50">
        <f t="shared" si="4"/>
        <v>0</v>
      </c>
      <c r="BQ13" s="50">
        <f t="shared" si="4"/>
        <v>0</v>
      </c>
      <c r="BR13" s="50">
        <f t="shared" ref="BR13:EC13" si="5">SUM(BR14:BR26)+SUM(BR29:BR36)+BR42</f>
        <v>0</v>
      </c>
      <c r="BS13" s="50">
        <f t="shared" si="5"/>
        <v>0</v>
      </c>
      <c r="BT13" s="50">
        <f t="shared" si="5"/>
        <v>0</v>
      </c>
      <c r="BU13" s="50">
        <f t="shared" si="5"/>
        <v>0</v>
      </c>
      <c r="BV13" s="50">
        <f t="shared" si="5"/>
        <v>0</v>
      </c>
      <c r="BW13" s="50">
        <f t="shared" si="5"/>
        <v>0</v>
      </c>
      <c r="BX13" s="50">
        <f t="shared" si="5"/>
        <v>0</v>
      </c>
      <c r="BY13" s="50">
        <f t="shared" si="5"/>
        <v>0</v>
      </c>
      <c r="BZ13" s="50">
        <f t="shared" si="5"/>
        <v>0</v>
      </c>
      <c r="CA13" s="50">
        <f t="shared" si="5"/>
        <v>0</v>
      </c>
      <c r="CB13" s="50">
        <f t="shared" si="5"/>
        <v>0</v>
      </c>
      <c r="CC13" s="50">
        <f t="shared" si="5"/>
        <v>0</v>
      </c>
      <c r="CD13" s="50">
        <f t="shared" si="5"/>
        <v>0</v>
      </c>
      <c r="CE13" s="50">
        <f t="shared" si="5"/>
        <v>0</v>
      </c>
      <c r="CF13" s="50">
        <f t="shared" si="5"/>
        <v>0</v>
      </c>
      <c r="CG13" s="50">
        <f t="shared" si="5"/>
        <v>0</v>
      </c>
      <c r="CH13" s="50">
        <f t="shared" si="5"/>
        <v>0</v>
      </c>
      <c r="CI13" s="50">
        <f t="shared" si="5"/>
        <v>0</v>
      </c>
      <c r="CJ13" s="50">
        <f t="shared" si="5"/>
        <v>0</v>
      </c>
      <c r="CK13" s="50">
        <f t="shared" si="5"/>
        <v>0</v>
      </c>
      <c r="CL13" s="50">
        <f t="shared" si="5"/>
        <v>0</v>
      </c>
      <c r="CM13" s="50">
        <f t="shared" si="5"/>
        <v>0</v>
      </c>
      <c r="CN13" s="50">
        <f t="shared" si="5"/>
        <v>0</v>
      </c>
      <c r="CO13" s="50">
        <f t="shared" si="5"/>
        <v>0</v>
      </c>
      <c r="CP13" s="50">
        <f t="shared" si="5"/>
        <v>0</v>
      </c>
      <c r="CQ13" s="50">
        <f t="shared" si="5"/>
        <v>0</v>
      </c>
      <c r="CR13" s="50">
        <f t="shared" si="5"/>
        <v>0</v>
      </c>
      <c r="CS13" s="50">
        <f t="shared" si="5"/>
        <v>0</v>
      </c>
      <c r="CT13" s="50">
        <f t="shared" si="5"/>
        <v>0</v>
      </c>
      <c r="CU13" s="50">
        <f t="shared" si="5"/>
        <v>0</v>
      </c>
      <c r="CV13" s="50">
        <f t="shared" si="5"/>
        <v>0</v>
      </c>
      <c r="CW13" s="50">
        <f t="shared" si="5"/>
        <v>0</v>
      </c>
      <c r="CX13" s="50">
        <f t="shared" si="5"/>
        <v>0</v>
      </c>
      <c r="CY13" s="50">
        <f t="shared" si="5"/>
        <v>0</v>
      </c>
      <c r="CZ13" s="50">
        <f t="shared" si="5"/>
        <v>0</v>
      </c>
      <c r="DA13" s="50">
        <f t="shared" si="5"/>
        <v>0</v>
      </c>
      <c r="DB13" s="50">
        <f t="shared" si="5"/>
        <v>0</v>
      </c>
      <c r="DC13" s="50">
        <f t="shared" si="5"/>
        <v>0</v>
      </c>
      <c r="DD13" s="50">
        <f t="shared" si="5"/>
        <v>0</v>
      </c>
      <c r="DE13" s="50">
        <f t="shared" si="5"/>
        <v>0</v>
      </c>
      <c r="DF13" s="50">
        <f t="shared" si="5"/>
        <v>0</v>
      </c>
      <c r="DG13" s="50">
        <f t="shared" si="5"/>
        <v>0</v>
      </c>
      <c r="DH13" s="50">
        <f t="shared" si="5"/>
        <v>0</v>
      </c>
      <c r="DI13" s="50">
        <f t="shared" si="5"/>
        <v>0</v>
      </c>
      <c r="DJ13" s="50">
        <f t="shared" si="5"/>
        <v>0</v>
      </c>
      <c r="DK13" s="50">
        <f t="shared" si="5"/>
        <v>0</v>
      </c>
      <c r="DL13" s="50">
        <f t="shared" si="5"/>
        <v>0</v>
      </c>
      <c r="DM13" s="50">
        <f t="shared" si="5"/>
        <v>0</v>
      </c>
      <c r="DN13" s="50">
        <f t="shared" si="5"/>
        <v>0</v>
      </c>
      <c r="DO13" s="50">
        <f t="shared" si="5"/>
        <v>0</v>
      </c>
      <c r="DP13" s="50">
        <f t="shared" si="5"/>
        <v>0</v>
      </c>
      <c r="DQ13" s="50">
        <f t="shared" si="5"/>
        <v>0</v>
      </c>
      <c r="DR13" s="50">
        <f t="shared" si="5"/>
        <v>0</v>
      </c>
      <c r="DS13" s="50">
        <f t="shared" si="5"/>
        <v>0</v>
      </c>
      <c r="DT13" s="50">
        <f t="shared" si="5"/>
        <v>0</v>
      </c>
      <c r="DU13" s="50">
        <f t="shared" si="5"/>
        <v>0</v>
      </c>
      <c r="DV13" s="50">
        <f t="shared" si="5"/>
        <v>0</v>
      </c>
      <c r="DW13" s="50">
        <f t="shared" si="5"/>
        <v>0</v>
      </c>
      <c r="DX13" s="50">
        <f t="shared" si="5"/>
        <v>0</v>
      </c>
      <c r="DY13" s="50">
        <f t="shared" si="5"/>
        <v>0</v>
      </c>
      <c r="DZ13" s="50">
        <f t="shared" si="5"/>
        <v>0</v>
      </c>
      <c r="EA13" s="50">
        <f t="shared" si="5"/>
        <v>0</v>
      </c>
      <c r="EB13" s="50">
        <f t="shared" si="5"/>
        <v>0</v>
      </c>
      <c r="EC13" s="50">
        <f t="shared" si="5"/>
        <v>0</v>
      </c>
      <c r="ED13" s="50">
        <f t="shared" ref="ED13:FX13" si="6">SUM(ED14:ED26)+SUM(ED29:ED36)+ED42</f>
        <v>0</v>
      </c>
      <c r="EE13" s="50">
        <f t="shared" si="6"/>
        <v>0</v>
      </c>
      <c r="EF13" s="50">
        <f t="shared" si="6"/>
        <v>0</v>
      </c>
      <c r="EG13" s="50">
        <f t="shared" si="6"/>
        <v>0</v>
      </c>
      <c r="EH13" s="50">
        <f t="shared" si="6"/>
        <v>0</v>
      </c>
      <c r="EI13" s="50">
        <f t="shared" si="6"/>
        <v>0</v>
      </c>
      <c r="EJ13" s="50">
        <f t="shared" si="6"/>
        <v>0</v>
      </c>
      <c r="EK13" s="50">
        <f t="shared" si="6"/>
        <v>0</v>
      </c>
      <c r="EL13" s="50">
        <f t="shared" si="6"/>
        <v>0</v>
      </c>
      <c r="EM13" s="50">
        <f t="shared" si="6"/>
        <v>0</v>
      </c>
      <c r="EN13" s="50">
        <f t="shared" si="6"/>
        <v>0</v>
      </c>
      <c r="EO13" s="50">
        <f t="shared" si="6"/>
        <v>0</v>
      </c>
      <c r="EP13" s="50">
        <f t="shared" si="6"/>
        <v>0</v>
      </c>
      <c r="EQ13" s="50">
        <f t="shared" si="6"/>
        <v>0</v>
      </c>
      <c r="ER13" s="50">
        <f t="shared" si="6"/>
        <v>0</v>
      </c>
      <c r="ES13" s="50">
        <f t="shared" si="6"/>
        <v>0</v>
      </c>
      <c r="ET13" s="50">
        <f t="shared" si="6"/>
        <v>0</v>
      </c>
      <c r="EU13" s="50">
        <f t="shared" si="6"/>
        <v>0</v>
      </c>
      <c r="EV13" s="50">
        <f t="shared" si="6"/>
        <v>0</v>
      </c>
      <c r="EW13" s="50">
        <f t="shared" si="6"/>
        <v>0</v>
      </c>
      <c r="EX13" s="50">
        <f t="shared" si="6"/>
        <v>0</v>
      </c>
      <c r="EY13" s="50">
        <f t="shared" si="6"/>
        <v>0</v>
      </c>
      <c r="EZ13" s="50">
        <f t="shared" si="6"/>
        <v>0</v>
      </c>
      <c r="FA13" s="50">
        <f t="shared" si="6"/>
        <v>0</v>
      </c>
      <c r="FB13" s="50">
        <f t="shared" si="6"/>
        <v>0</v>
      </c>
      <c r="FC13" s="50">
        <f t="shared" si="6"/>
        <v>0</v>
      </c>
      <c r="FD13" s="50">
        <f t="shared" si="6"/>
        <v>0</v>
      </c>
      <c r="FE13" s="50">
        <f t="shared" si="6"/>
        <v>0</v>
      </c>
      <c r="FF13" s="50">
        <f t="shared" si="6"/>
        <v>0</v>
      </c>
      <c r="FG13" s="50">
        <f t="shared" si="6"/>
        <v>0</v>
      </c>
      <c r="FH13" s="50">
        <f t="shared" si="6"/>
        <v>0</v>
      </c>
      <c r="FI13" s="50">
        <f t="shared" si="6"/>
        <v>0</v>
      </c>
      <c r="FJ13" s="50">
        <f t="shared" si="6"/>
        <v>0</v>
      </c>
      <c r="FK13" s="50">
        <f t="shared" si="6"/>
        <v>0</v>
      </c>
      <c r="FL13" s="50">
        <f t="shared" si="6"/>
        <v>0</v>
      </c>
      <c r="FM13" s="50">
        <f t="shared" si="6"/>
        <v>0</v>
      </c>
      <c r="FN13" s="50">
        <f t="shared" si="6"/>
        <v>0</v>
      </c>
      <c r="FO13" s="50">
        <f t="shared" si="6"/>
        <v>0</v>
      </c>
      <c r="FP13" s="50">
        <f t="shared" si="6"/>
        <v>0</v>
      </c>
      <c r="FQ13" s="50">
        <f t="shared" si="6"/>
        <v>0</v>
      </c>
      <c r="FR13" s="50">
        <f t="shared" si="6"/>
        <v>0</v>
      </c>
      <c r="FS13" s="50">
        <f t="shared" si="6"/>
        <v>0</v>
      </c>
      <c r="FT13" s="50">
        <f t="shared" si="6"/>
        <v>0</v>
      </c>
      <c r="FU13" s="50">
        <f t="shared" si="6"/>
        <v>0</v>
      </c>
      <c r="FV13" s="50">
        <f t="shared" si="6"/>
        <v>0</v>
      </c>
      <c r="FW13" s="50">
        <f t="shared" si="6"/>
        <v>0</v>
      </c>
      <c r="FX13" s="50">
        <f t="shared" si="6"/>
        <v>0</v>
      </c>
    </row>
    <row r="14" spans="1:180" s="22" customFormat="1" ht="15.75" x14ac:dyDescent="0.25">
      <c r="A14" s="2" t="s">
        <v>190</v>
      </c>
      <c r="B14" s="2">
        <v>1</v>
      </c>
      <c r="C14" s="40" t="s">
        <v>244</v>
      </c>
      <c r="D14" s="44">
        <f t="shared" si="0"/>
        <v>0</v>
      </c>
      <c r="E14" s="51"/>
      <c r="F14" s="52"/>
      <c r="G14" s="52"/>
      <c r="H14" s="52"/>
      <c r="I14" s="52"/>
      <c r="J14" s="52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5"/>
      <c r="FR14" s="55"/>
      <c r="FS14" s="55"/>
      <c r="FT14" s="55"/>
      <c r="FU14" s="55"/>
      <c r="FV14" s="55"/>
      <c r="FW14" s="55"/>
      <c r="FX14" s="55"/>
    </row>
    <row r="15" spans="1:180" ht="15.75" x14ac:dyDescent="0.25">
      <c r="A15" s="2" t="s">
        <v>191</v>
      </c>
      <c r="B15" s="2">
        <v>2</v>
      </c>
      <c r="C15" s="40" t="s">
        <v>245</v>
      </c>
      <c r="D15" s="44">
        <f t="shared" si="0"/>
        <v>0</v>
      </c>
      <c r="E15" s="45"/>
      <c r="F15" s="46"/>
      <c r="G15" s="46"/>
      <c r="H15" s="46"/>
      <c r="I15" s="46"/>
      <c r="J15" s="46"/>
      <c r="K15" s="47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</row>
    <row r="16" spans="1:180" ht="15.75" x14ac:dyDescent="0.25">
      <c r="A16" s="2" t="s">
        <v>192</v>
      </c>
      <c r="B16" s="2">
        <v>3</v>
      </c>
      <c r="C16" s="40" t="s">
        <v>246</v>
      </c>
      <c r="D16" s="44">
        <f t="shared" si="0"/>
        <v>0</v>
      </c>
      <c r="E16" s="45"/>
      <c r="F16" s="46"/>
      <c r="G16" s="46"/>
      <c r="H16" s="46"/>
      <c r="I16" s="46"/>
      <c r="J16" s="46"/>
      <c r="K16" s="47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</row>
    <row r="17" spans="1:180" ht="15.75" x14ac:dyDescent="0.25">
      <c r="A17" s="2" t="s">
        <v>193</v>
      </c>
      <c r="B17" s="2">
        <v>4</v>
      </c>
      <c r="C17" s="40" t="s">
        <v>247</v>
      </c>
      <c r="D17" s="44">
        <f t="shared" si="0"/>
        <v>0</v>
      </c>
      <c r="E17" s="45"/>
      <c r="F17" s="46"/>
      <c r="G17" s="46"/>
      <c r="H17" s="46"/>
      <c r="I17" s="46"/>
      <c r="J17" s="46"/>
      <c r="K17" s="47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</row>
    <row r="18" spans="1:180" ht="31.5" x14ac:dyDescent="0.25">
      <c r="A18" s="2" t="s">
        <v>194</v>
      </c>
      <c r="B18" s="2">
        <v>5</v>
      </c>
      <c r="C18" s="40" t="s">
        <v>248</v>
      </c>
      <c r="D18" s="44">
        <f t="shared" si="0"/>
        <v>0</v>
      </c>
      <c r="E18" s="45"/>
      <c r="F18" s="46"/>
      <c r="G18" s="46"/>
      <c r="H18" s="46"/>
      <c r="I18" s="46"/>
      <c r="J18" s="46"/>
      <c r="K18" s="47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</row>
    <row r="19" spans="1:180" ht="31.5" x14ac:dyDescent="0.25">
      <c r="A19" s="2" t="s">
        <v>195</v>
      </c>
      <c r="B19" s="2">
        <v>6</v>
      </c>
      <c r="C19" s="40" t="s">
        <v>249</v>
      </c>
      <c r="D19" s="44">
        <f t="shared" si="0"/>
        <v>0</v>
      </c>
      <c r="E19" s="45"/>
      <c r="F19" s="46"/>
      <c r="G19" s="46"/>
      <c r="H19" s="46"/>
      <c r="I19" s="46"/>
      <c r="J19" s="46"/>
      <c r="K19" s="49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</row>
    <row r="20" spans="1:180" ht="31.5" x14ac:dyDescent="0.25">
      <c r="A20" s="2" t="s">
        <v>196</v>
      </c>
      <c r="B20" s="2">
        <v>7</v>
      </c>
      <c r="C20" s="40" t="s">
        <v>250</v>
      </c>
      <c r="D20" s="44">
        <f t="shared" si="0"/>
        <v>0</v>
      </c>
      <c r="E20" s="45"/>
      <c r="F20" s="46"/>
      <c r="G20" s="46"/>
      <c r="H20" s="46"/>
      <c r="I20" s="46"/>
      <c r="J20" s="46"/>
      <c r="K20" s="49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</row>
    <row r="21" spans="1:180" ht="15.75" customHeight="1" x14ac:dyDescent="0.25">
      <c r="A21" s="2" t="s">
        <v>197</v>
      </c>
      <c r="B21" s="2">
        <v>8</v>
      </c>
      <c r="C21" s="40" t="s">
        <v>294</v>
      </c>
      <c r="D21" s="44">
        <f t="shared" si="0"/>
        <v>0</v>
      </c>
      <c r="E21" s="45"/>
      <c r="F21" s="46"/>
      <c r="G21" s="46"/>
      <c r="H21" s="46"/>
      <c r="I21" s="46"/>
      <c r="J21" s="46"/>
      <c r="K21" s="49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</row>
    <row r="22" spans="1:180" ht="15.75" customHeight="1" x14ac:dyDescent="0.25">
      <c r="A22" s="3" t="s">
        <v>198</v>
      </c>
      <c r="B22" s="2">
        <v>9</v>
      </c>
      <c r="C22" s="40" t="s">
        <v>253</v>
      </c>
      <c r="D22" s="44">
        <f t="shared" si="0"/>
        <v>0</v>
      </c>
      <c r="E22" s="45"/>
      <c r="F22" s="46"/>
      <c r="G22" s="46"/>
      <c r="H22" s="46"/>
      <c r="I22" s="46"/>
      <c r="J22" s="46"/>
      <c r="K22" s="49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</row>
    <row r="23" spans="1:180" ht="15.75" customHeight="1" x14ac:dyDescent="0.25">
      <c r="A23" s="3" t="s">
        <v>199</v>
      </c>
      <c r="B23" s="2">
        <v>10</v>
      </c>
      <c r="C23" s="40" t="s">
        <v>254</v>
      </c>
      <c r="D23" s="44">
        <f t="shared" si="0"/>
        <v>0</v>
      </c>
      <c r="E23" s="45"/>
      <c r="F23" s="46"/>
      <c r="G23" s="46"/>
      <c r="H23" s="46"/>
      <c r="I23" s="46"/>
      <c r="J23" s="46"/>
      <c r="K23" s="49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</row>
    <row r="24" spans="1:180" ht="15.75" customHeight="1" x14ac:dyDescent="0.25">
      <c r="A24" s="3" t="s">
        <v>200</v>
      </c>
      <c r="B24" s="2">
        <v>11</v>
      </c>
      <c r="C24" s="40" t="s">
        <v>255</v>
      </c>
      <c r="D24" s="44">
        <f t="shared" si="0"/>
        <v>0</v>
      </c>
      <c r="E24" s="45"/>
      <c r="F24" s="46"/>
      <c r="G24" s="46"/>
      <c r="H24" s="46"/>
      <c r="I24" s="46"/>
      <c r="J24" s="46"/>
      <c r="K24" s="49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</row>
    <row r="25" spans="1:180" ht="15.75" customHeight="1" x14ac:dyDescent="0.25">
      <c r="A25" s="3" t="s">
        <v>201</v>
      </c>
      <c r="B25" s="2">
        <v>12</v>
      </c>
      <c r="C25" s="40" t="s">
        <v>256</v>
      </c>
      <c r="D25" s="44">
        <f t="shared" si="0"/>
        <v>0</v>
      </c>
      <c r="E25" s="45"/>
      <c r="F25" s="46"/>
      <c r="G25" s="46"/>
      <c r="H25" s="46"/>
      <c r="I25" s="46"/>
      <c r="J25" s="46"/>
      <c r="K25" s="49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</row>
    <row r="26" spans="1:180" ht="15.75" customHeight="1" x14ac:dyDescent="0.25">
      <c r="A26" s="3" t="s">
        <v>202</v>
      </c>
      <c r="B26" s="2">
        <v>13</v>
      </c>
      <c r="C26" s="40" t="s">
        <v>257</v>
      </c>
      <c r="D26" s="44">
        <f t="shared" si="0"/>
        <v>0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80"/>
      <c r="FF26" s="80"/>
      <c r="FG26" s="80"/>
      <c r="FH26" s="80"/>
      <c r="FI26" s="80"/>
      <c r="FJ26" s="80"/>
      <c r="FK26" s="80"/>
      <c r="FL26" s="80"/>
      <c r="FM26" s="80"/>
      <c r="FN26" s="80"/>
      <c r="FO26" s="80"/>
      <c r="FP26" s="80"/>
      <c r="FQ26" s="80"/>
      <c r="FR26" s="80"/>
      <c r="FS26" s="80"/>
      <c r="FT26" s="80"/>
      <c r="FU26" s="80"/>
      <c r="FV26" s="80"/>
      <c r="FW26" s="80"/>
      <c r="FX26" s="80"/>
    </row>
    <row r="27" spans="1:180" ht="15.75" customHeight="1" x14ac:dyDescent="0.25">
      <c r="A27" s="3" t="s">
        <v>203</v>
      </c>
      <c r="B27" s="2"/>
      <c r="C27" s="43" t="s">
        <v>258</v>
      </c>
      <c r="D27" s="44">
        <f t="shared" si="0"/>
        <v>0</v>
      </c>
      <c r="E27" s="45"/>
      <c r="F27" s="46"/>
      <c r="G27" s="46"/>
      <c r="H27" s="46"/>
      <c r="I27" s="46"/>
      <c r="J27" s="46"/>
      <c r="K27" s="49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</row>
    <row r="28" spans="1:180" ht="15.75" customHeight="1" x14ac:dyDescent="0.25">
      <c r="A28" s="3" t="s">
        <v>204</v>
      </c>
      <c r="B28" s="2"/>
      <c r="C28" s="43" t="s">
        <v>259</v>
      </c>
      <c r="D28" s="44">
        <f t="shared" si="0"/>
        <v>0</v>
      </c>
      <c r="E28" s="81">
        <f>E26-E27</f>
        <v>0</v>
      </c>
      <c r="F28" s="81">
        <f t="shared" ref="F28:BQ28" si="7">F26-F27</f>
        <v>0</v>
      </c>
      <c r="G28" s="81">
        <f t="shared" si="7"/>
        <v>0</v>
      </c>
      <c r="H28" s="81">
        <f t="shared" si="7"/>
        <v>0</v>
      </c>
      <c r="I28" s="81">
        <f t="shared" si="7"/>
        <v>0</v>
      </c>
      <c r="J28" s="81">
        <f t="shared" si="7"/>
        <v>0</v>
      </c>
      <c r="K28" s="81">
        <f t="shared" si="7"/>
        <v>0</v>
      </c>
      <c r="L28" s="81">
        <f t="shared" si="7"/>
        <v>0</v>
      </c>
      <c r="M28" s="81">
        <f t="shared" si="7"/>
        <v>0</v>
      </c>
      <c r="N28" s="81">
        <f t="shared" si="7"/>
        <v>0</v>
      </c>
      <c r="O28" s="81">
        <f t="shared" si="7"/>
        <v>0</v>
      </c>
      <c r="P28" s="81">
        <f t="shared" si="7"/>
        <v>0</v>
      </c>
      <c r="Q28" s="81">
        <f t="shared" si="7"/>
        <v>0</v>
      </c>
      <c r="R28" s="81">
        <f t="shared" si="7"/>
        <v>0</v>
      </c>
      <c r="S28" s="81">
        <f t="shared" si="7"/>
        <v>0</v>
      </c>
      <c r="T28" s="81">
        <f t="shared" si="7"/>
        <v>0</v>
      </c>
      <c r="U28" s="81">
        <f t="shared" si="7"/>
        <v>0</v>
      </c>
      <c r="V28" s="81">
        <f t="shared" si="7"/>
        <v>0</v>
      </c>
      <c r="W28" s="81">
        <f t="shared" si="7"/>
        <v>0</v>
      </c>
      <c r="X28" s="81">
        <f t="shared" si="7"/>
        <v>0</v>
      </c>
      <c r="Y28" s="81">
        <f t="shared" si="7"/>
        <v>0</v>
      </c>
      <c r="Z28" s="81">
        <f t="shared" si="7"/>
        <v>0</v>
      </c>
      <c r="AA28" s="81">
        <f t="shared" si="7"/>
        <v>0</v>
      </c>
      <c r="AB28" s="81">
        <f t="shared" si="7"/>
        <v>0</v>
      </c>
      <c r="AC28" s="81">
        <f t="shared" si="7"/>
        <v>0</v>
      </c>
      <c r="AD28" s="81">
        <f t="shared" si="7"/>
        <v>0</v>
      </c>
      <c r="AE28" s="81">
        <f t="shared" si="7"/>
        <v>0</v>
      </c>
      <c r="AF28" s="81">
        <f t="shared" si="7"/>
        <v>0</v>
      </c>
      <c r="AG28" s="81">
        <f t="shared" si="7"/>
        <v>0</v>
      </c>
      <c r="AH28" s="81">
        <f t="shared" si="7"/>
        <v>0</v>
      </c>
      <c r="AI28" s="81">
        <f t="shared" si="7"/>
        <v>0</v>
      </c>
      <c r="AJ28" s="81">
        <f t="shared" si="7"/>
        <v>0</v>
      </c>
      <c r="AK28" s="81">
        <f t="shared" si="7"/>
        <v>0</v>
      </c>
      <c r="AL28" s="81">
        <f t="shared" si="7"/>
        <v>0</v>
      </c>
      <c r="AM28" s="81">
        <f t="shared" si="7"/>
        <v>0</v>
      </c>
      <c r="AN28" s="81">
        <f t="shared" si="7"/>
        <v>0</v>
      </c>
      <c r="AO28" s="81">
        <f t="shared" si="7"/>
        <v>0</v>
      </c>
      <c r="AP28" s="81">
        <f t="shared" si="7"/>
        <v>0</v>
      </c>
      <c r="AQ28" s="81">
        <f t="shared" si="7"/>
        <v>0</v>
      </c>
      <c r="AR28" s="81">
        <f t="shared" si="7"/>
        <v>0</v>
      </c>
      <c r="AS28" s="81">
        <f t="shared" si="7"/>
        <v>0</v>
      </c>
      <c r="AT28" s="81">
        <f t="shared" si="7"/>
        <v>0</v>
      </c>
      <c r="AU28" s="81">
        <f t="shared" si="7"/>
        <v>0</v>
      </c>
      <c r="AV28" s="81">
        <f t="shared" si="7"/>
        <v>0</v>
      </c>
      <c r="AW28" s="81">
        <f t="shared" si="7"/>
        <v>0</v>
      </c>
      <c r="AX28" s="81">
        <f t="shared" si="7"/>
        <v>0</v>
      </c>
      <c r="AY28" s="81">
        <f t="shared" si="7"/>
        <v>0</v>
      </c>
      <c r="AZ28" s="81">
        <f t="shared" si="7"/>
        <v>0</v>
      </c>
      <c r="BA28" s="81">
        <f t="shared" si="7"/>
        <v>0</v>
      </c>
      <c r="BB28" s="81">
        <f t="shared" si="7"/>
        <v>0</v>
      </c>
      <c r="BC28" s="81">
        <f t="shared" si="7"/>
        <v>0</v>
      </c>
      <c r="BD28" s="81">
        <f t="shared" si="7"/>
        <v>0</v>
      </c>
      <c r="BE28" s="81">
        <f t="shared" si="7"/>
        <v>0</v>
      </c>
      <c r="BF28" s="81">
        <f t="shared" si="7"/>
        <v>0</v>
      </c>
      <c r="BG28" s="81">
        <f t="shared" si="7"/>
        <v>0</v>
      </c>
      <c r="BH28" s="81">
        <f t="shared" si="7"/>
        <v>0</v>
      </c>
      <c r="BI28" s="81">
        <f t="shared" si="7"/>
        <v>0</v>
      </c>
      <c r="BJ28" s="81">
        <f t="shared" si="7"/>
        <v>0</v>
      </c>
      <c r="BK28" s="81">
        <f t="shared" si="7"/>
        <v>0</v>
      </c>
      <c r="BL28" s="81">
        <f t="shared" si="7"/>
        <v>0</v>
      </c>
      <c r="BM28" s="81">
        <f t="shared" si="7"/>
        <v>0</v>
      </c>
      <c r="BN28" s="81">
        <f t="shared" si="7"/>
        <v>0</v>
      </c>
      <c r="BO28" s="81">
        <f t="shared" si="7"/>
        <v>0</v>
      </c>
      <c r="BP28" s="81">
        <f t="shared" si="7"/>
        <v>0</v>
      </c>
      <c r="BQ28" s="81">
        <f t="shared" si="7"/>
        <v>0</v>
      </c>
      <c r="BR28" s="81">
        <f t="shared" ref="BR28:EC28" si="8">BR26-BR27</f>
        <v>0</v>
      </c>
      <c r="BS28" s="81">
        <f t="shared" si="8"/>
        <v>0</v>
      </c>
      <c r="BT28" s="81">
        <f t="shared" si="8"/>
        <v>0</v>
      </c>
      <c r="BU28" s="81">
        <f t="shared" si="8"/>
        <v>0</v>
      </c>
      <c r="BV28" s="81">
        <f t="shared" si="8"/>
        <v>0</v>
      </c>
      <c r="BW28" s="81">
        <f t="shared" si="8"/>
        <v>0</v>
      </c>
      <c r="BX28" s="81">
        <f t="shared" si="8"/>
        <v>0</v>
      </c>
      <c r="BY28" s="81">
        <f t="shared" si="8"/>
        <v>0</v>
      </c>
      <c r="BZ28" s="81">
        <f t="shared" si="8"/>
        <v>0</v>
      </c>
      <c r="CA28" s="81">
        <f t="shared" si="8"/>
        <v>0</v>
      </c>
      <c r="CB28" s="81">
        <f t="shared" si="8"/>
        <v>0</v>
      </c>
      <c r="CC28" s="81">
        <f t="shared" si="8"/>
        <v>0</v>
      </c>
      <c r="CD28" s="81">
        <f t="shared" si="8"/>
        <v>0</v>
      </c>
      <c r="CE28" s="81">
        <f t="shared" si="8"/>
        <v>0</v>
      </c>
      <c r="CF28" s="81">
        <f t="shared" si="8"/>
        <v>0</v>
      </c>
      <c r="CG28" s="81">
        <f t="shared" si="8"/>
        <v>0</v>
      </c>
      <c r="CH28" s="81">
        <f t="shared" si="8"/>
        <v>0</v>
      </c>
      <c r="CI28" s="81">
        <f t="shared" si="8"/>
        <v>0</v>
      </c>
      <c r="CJ28" s="81">
        <f t="shared" si="8"/>
        <v>0</v>
      </c>
      <c r="CK28" s="81">
        <f t="shared" si="8"/>
        <v>0</v>
      </c>
      <c r="CL28" s="81">
        <f t="shared" si="8"/>
        <v>0</v>
      </c>
      <c r="CM28" s="81">
        <f t="shared" si="8"/>
        <v>0</v>
      </c>
      <c r="CN28" s="81">
        <f t="shared" si="8"/>
        <v>0</v>
      </c>
      <c r="CO28" s="81">
        <f t="shared" si="8"/>
        <v>0</v>
      </c>
      <c r="CP28" s="81">
        <f t="shared" si="8"/>
        <v>0</v>
      </c>
      <c r="CQ28" s="81">
        <f t="shared" si="8"/>
        <v>0</v>
      </c>
      <c r="CR28" s="81">
        <f t="shared" si="8"/>
        <v>0</v>
      </c>
      <c r="CS28" s="81">
        <f t="shared" si="8"/>
        <v>0</v>
      </c>
      <c r="CT28" s="81">
        <f t="shared" si="8"/>
        <v>0</v>
      </c>
      <c r="CU28" s="81">
        <f t="shared" si="8"/>
        <v>0</v>
      </c>
      <c r="CV28" s="81">
        <f t="shared" si="8"/>
        <v>0</v>
      </c>
      <c r="CW28" s="81">
        <f t="shared" si="8"/>
        <v>0</v>
      </c>
      <c r="CX28" s="81">
        <f t="shared" si="8"/>
        <v>0</v>
      </c>
      <c r="CY28" s="81">
        <f t="shared" si="8"/>
        <v>0</v>
      </c>
      <c r="CZ28" s="81">
        <f t="shared" si="8"/>
        <v>0</v>
      </c>
      <c r="DA28" s="81">
        <f t="shared" si="8"/>
        <v>0</v>
      </c>
      <c r="DB28" s="81">
        <f t="shared" si="8"/>
        <v>0</v>
      </c>
      <c r="DC28" s="81">
        <f t="shared" si="8"/>
        <v>0</v>
      </c>
      <c r="DD28" s="81">
        <f t="shared" si="8"/>
        <v>0</v>
      </c>
      <c r="DE28" s="81">
        <f t="shared" si="8"/>
        <v>0</v>
      </c>
      <c r="DF28" s="81">
        <f t="shared" si="8"/>
        <v>0</v>
      </c>
      <c r="DG28" s="81">
        <f t="shared" si="8"/>
        <v>0</v>
      </c>
      <c r="DH28" s="81">
        <f t="shared" si="8"/>
        <v>0</v>
      </c>
      <c r="DI28" s="81">
        <f t="shared" si="8"/>
        <v>0</v>
      </c>
      <c r="DJ28" s="81">
        <f t="shared" si="8"/>
        <v>0</v>
      </c>
      <c r="DK28" s="81">
        <f t="shared" si="8"/>
        <v>0</v>
      </c>
      <c r="DL28" s="81">
        <f t="shared" si="8"/>
        <v>0</v>
      </c>
      <c r="DM28" s="81">
        <f t="shared" si="8"/>
        <v>0</v>
      </c>
      <c r="DN28" s="81">
        <f t="shared" si="8"/>
        <v>0</v>
      </c>
      <c r="DO28" s="81">
        <f t="shared" si="8"/>
        <v>0</v>
      </c>
      <c r="DP28" s="81">
        <f t="shared" si="8"/>
        <v>0</v>
      </c>
      <c r="DQ28" s="81">
        <f t="shared" si="8"/>
        <v>0</v>
      </c>
      <c r="DR28" s="81">
        <f t="shared" si="8"/>
        <v>0</v>
      </c>
      <c r="DS28" s="81">
        <f t="shared" si="8"/>
        <v>0</v>
      </c>
      <c r="DT28" s="81">
        <f t="shared" si="8"/>
        <v>0</v>
      </c>
      <c r="DU28" s="81">
        <f t="shared" si="8"/>
        <v>0</v>
      </c>
      <c r="DV28" s="81">
        <f t="shared" si="8"/>
        <v>0</v>
      </c>
      <c r="DW28" s="81">
        <f t="shared" si="8"/>
        <v>0</v>
      </c>
      <c r="DX28" s="81">
        <f t="shared" si="8"/>
        <v>0</v>
      </c>
      <c r="DY28" s="81">
        <f t="shared" si="8"/>
        <v>0</v>
      </c>
      <c r="DZ28" s="81">
        <f t="shared" si="8"/>
        <v>0</v>
      </c>
      <c r="EA28" s="81">
        <f t="shared" si="8"/>
        <v>0</v>
      </c>
      <c r="EB28" s="81">
        <f t="shared" si="8"/>
        <v>0</v>
      </c>
      <c r="EC28" s="81">
        <f t="shared" si="8"/>
        <v>0</v>
      </c>
      <c r="ED28" s="81">
        <f t="shared" ref="ED28:FX28" si="9">ED26-ED27</f>
        <v>0</v>
      </c>
      <c r="EE28" s="81">
        <f t="shared" si="9"/>
        <v>0</v>
      </c>
      <c r="EF28" s="81">
        <f t="shared" si="9"/>
        <v>0</v>
      </c>
      <c r="EG28" s="81">
        <f t="shared" si="9"/>
        <v>0</v>
      </c>
      <c r="EH28" s="81">
        <f t="shared" si="9"/>
        <v>0</v>
      </c>
      <c r="EI28" s="81">
        <f t="shared" si="9"/>
        <v>0</v>
      </c>
      <c r="EJ28" s="81">
        <f t="shared" si="9"/>
        <v>0</v>
      </c>
      <c r="EK28" s="81">
        <f t="shared" si="9"/>
        <v>0</v>
      </c>
      <c r="EL28" s="81">
        <f t="shared" si="9"/>
        <v>0</v>
      </c>
      <c r="EM28" s="81">
        <f t="shared" si="9"/>
        <v>0</v>
      </c>
      <c r="EN28" s="81">
        <f t="shared" si="9"/>
        <v>0</v>
      </c>
      <c r="EO28" s="81">
        <f t="shared" si="9"/>
        <v>0</v>
      </c>
      <c r="EP28" s="81">
        <f t="shared" si="9"/>
        <v>0</v>
      </c>
      <c r="EQ28" s="81">
        <f t="shared" si="9"/>
        <v>0</v>
      </c>
      <c r="ER28" s="81">
        <f t="shared" si="9"/>
        <v>0</v>
      </c>
      <c r="ES28" s="81">
        <f t="shared" si="9"/>
        <v>0</v>
      </c>
      <c r="ET28" s="81">
        <f t="shared" si="9"/>
        <v>0</v>
      </c>
      <c r="EU28" s="81">
        <f t="shared" si="9"/>
        <v>0</v>
      </c>
      <c r="EV28" s="81">
        <f t="shared" si="9"/>
        <v>0</v>
      </c>
      <c r="EW28" s="81">
        <f t="shared" si="9"/>
        <v>0</v>
      </c>
      <c r="EX28" s="81">
        <f t="shared" si="9"/>
        <v>0</v>
      </c>
      <c r="EY28" s="81">
        <f t="shared" si="9"/>
        <v>0</v>
      </c>
      <c r="EZ28" s="81">
        <f t="shared" si="9"/>
        <v>0</v>
      </c>
      <c r="FA28" s="81">
        <f t="shared" si="9"/>
        <v>0</v>
      </c>
      <c r="FB28" s="81">
        <f t="shared" si="9"/>
        <v>0</v>
      </c>
      <c r="FC28" s="81">
        <f t="shared" si="9"/>
        <v>0</v>
      </c>
      <c r="FD28" s="81">
        <f t="shared" si="9"/>
        <v>0</v>
      </c>
      <c r="FE28" s="81">
        <f t="shared" si="9"/>
        <v>0</v>
      </c>
      <c r="FF28" s="81">
        <f t="shared" si="9"/>
        <v>0</v>
      </c>
      <c r="FG28" s="81">
        <f t="shared" si="9"/>
        <v>0</v>
      </c>
      <c r="FH28" s="81">
        <f t="shared" si="9"/>
        <v>0</v>
      </c>
      <c r="FI28" s="81">
        <f t="shared" si="9"/>
        <v>0</v>
      </c>
      <c r="FJ28" s="81">
        <f t="shared" si="9"/>
        <v>0</v>
      </c>
      <c r="FK28" s="81">
        <f t="shared" si="9"/>
        <v>0</v>
      </c>
      <c r="FL28" s="81">
        <f t="shared" si="9"/>
        <v>0</v>
      </c>
      <c r="FM28" s="81">
        <f t="shared" si="9"/>
        <v>0</v>
      </c>
      <c r="FN28" s="81">
        <f t="shared" si="9"/>
        <v>0</v>
      </c>
      <c r="FO28" s="81">
        <f t="shared" si="9"/>
        <v>0</v>
      </c>
      <c r="FP28" s="81">
        <f t="shared" si="9"/>
        <v>0</v>
      </c>
      <c r="FQ28" s="81">
        <f t="shared" si="9"/>
        <v>0</v>
      </c>
      <c r="FR28" s="81">
        <f t="shared" si="9"/>
        <v>0</v>
      </c>
      <c r="FS28" s="81">
        <f t="shared" si="9"/>
        <v>0</v>
      </c>
      <c r="FT28" s="81">
        <f t="shared" si="9"/>
        <v>0</v>
      </c>
      <c r="FU28" s="81">
        <f t="shared" si="9"/>
        <v>0</v>
      </c>
      <c r="FV28" s="81">
        <f t="shared" si="9"/>
        <v>0</v>
      </c>
      <c r="FW28" s="81">
        <f t="shared" si="9"/>
        <v>0</v>
      </c>
      <c r="FX28" s="81">
        <f t="shared" si="9"/>
        <v>0</v>
      </c>
    </row>
    <row r="29" spans="1:180" ht="30" customHeight="1" x14ac:dyDescent="0.25">
      <c r="A29" s="3" t="s">
        <v>205</v>
      </c>
      <c r="B29" s="2">
        <v>14</v>
      </c>
      <c r="C29" s="40" t="s">
        <v>260</v>
      </c>
      <c r="D29" s="44">
        <f t="shared" si="0"/>
        <v>0</v>
      </c>
      <c r="E29" s="45"/>
      <c r="F29" s="46"/>
      <c r="G29" s="46"/>
      <c r="H29" s="46"/>
      <c r="I29" s="46"/>
      <c r="J29" s="46"/>
      <c r="K29" s="49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</row>
    <row r="30" spans="1:180" ht="34.5" customHeight="1" x14ac:dyDescent="0.25">
      <c r="A30" s="3" t="s">
        <v>269</v>
      </c>
      <c r="B30" s="2">
        <v>15</v>
      </c>
      <c r="C30" s="40" t="s">
        <v>261</v>
      </c>
      <c r="D30" s="44">
        <f t="shared" si="0"/>
        <v>0</v>
      </c>
      <c r="E30" s="45"/>
      <c r="F30" s="46"/>
      <c r="G30" s="46"/>
      <c r="H30" s="46"/>
      <c r="I30" s="46"/>
      <c r="J30" s="46"/>
      <c r="K30" s="49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</row>
    <row r="31" spans="1:180" ht="34.5" customHeight="1" x14ac:dyDescent="0.25">
      <c r="A31" s="3" t="s">
        <v>206</v>
      </c>
      <c r="B31" s="2">
        <v>16</v>
      </c>
      <c r="C31" s="40" t="s">
        <v>262</v>
      </c>
      <c r="D31" s="44">
        <f t="shared" si="0"/>
        <v>0</v>
      </c>
      <c r="E31" s="45"/>
      <c r="F31" s="46"/>
      <c r="G31" s="46"/>
      <c r="H31" s="46"/>
      <c r="I31" s="46"/>
      <c r="J31" s="46"/>
      <c r="K31" s="49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</row>
    <row r="32" spans="1:180" ht="28.5" customHeight="1" x14ac:dyDescent="0.25">
      <c r="A32" s="3" t="s">
        <v>207</v>
      </c>
      <c r="B32" s="2">
        <v>17</v>
      </c>
      <c r="C32" s="40" t="s">
        <v>263</v>
      </c>
      <c r="D32" s="44">
        <f t="shared" si="0"/>
        <v>0</v>
      </c>
      <c r="E32" s="45"/>
      <c r="F32" s="46"/>
      <c r="G32" s="46"/>
      <c r="H32" s="46"/>
      <c r="I32" s="46"/>
      <c r="J32" s="46"/>
      <c r="K32" s="49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</row>
    <row r="33" spans="1:180" ht="45.75" customHeight="1" x14ac:dyDescent="0.25">
      <c r="A33" s="3" t="s">
        <v>208</v>
      </c>
      <c r="B33" s="2">
        <v>18</v>
      </c>
      <c r="C33" s="40" t="s">
        <v>264</v>
      </c>
      <c r="D33" s="44">
        <f t="shared" si="0"/>
        <v>0</v>
      </c>
      <c r="E33" s="45"/>
      <c r="F33" s="45"/>
      <c r="G33" s="45"/>
      <c r="H33" s="45"/>
      <c r="I33" s="45"/>
      <c r="J33" s="45"/>
      <c r="K33" s="56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6"/>
      <c r="FR33" s="46"/>
      <c r="FS33" s="46"/>
      <c r="FT33" s="46"/>
      <c r="FU33" s="46"/>
      <c r="FV33" s="46"/>
      <c r="FW33" s="46"/>
      <c r="FX33" s="46"/>
    </row>
    <row r="34" spans="1:180" ht="15.75" customHeight="1" x14ac:dyDescent="0.25">
      <c r="A34" s="3" t="s">
        <v>209</v>
      </c>
      <c r="B34" s="2">
        <v>19</v>
      </c>
      <c r="C34" s="40" t="s">
        <v>265</v>
      </c>
      <c r="D34" s="44">
        <f t="shared" si="0"/>
        <v>0</v>
      </c>
      <c r="E34" s="45"/>
      <c r="F34" s="46"/>
      <c r="G34" s="46"/>
      <c r="H34" s="46"/>
      <c r="I34" s="46"/>
      <c r="J34" s="46"/>
      <c r="K34" s="49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</row>
    <row r="35" spans="1:180" ht="35.25" customHeight="1" x14ac:dyDescent="0.25">
      <c r="A35" s="3" t="s">
        <v>210</v>
      </c>
      <c r="B35" s="2">
        <v>20</v>
      </c>
      <c r="C35" s="40" t="s">
        <v>266</v>
      </c>
      <c r="D35" s="44">
        <f t="shared" si="0"/>
        <v>0</v>
      </c>
      <c r="E35" s="57"/>
      <c r="F35" s="46"/>
      <c r="G35" s="46"/>
      <c r="H35" s="46"/>
      <c r="I35" s="46"/>
      <c r="J35" s="46"/>
      <c r="K35" s="49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</row>
    <row r="36" spans="1:180" ht="15.75" customHeight="1" x14ac:dyDescent="0.25">
      <c r="A36" s="3" t="s">
        <v>211</v>
      </c>
      <c r="B36" s="2">
        <v>21</v>
      </c>
      <c r="C36" s="40" t="s">
        <v>267</v>
      </c>
      <c r="D36" s="44">
        <f t="shared" si="0"/>
        <v>0</v>
      </c>
      <c r="E36" s="44">
        <f>SUM(E37:E41)</f>
        <v>0</v>
      </c>
      <c r="F36" s="44">
        <f t="shared" ref="F36:BQ36" si="10">SUM(F37:F41)</f>
        <v>0</v>
      </c>
      <c r="G36" s="44">
        <f t="shared" si="10"/>
        <v>0</v>
      </c>
      <c r="H36" s="44">
        <f t="shared" si="10"/>
        <v>0</v>
      </c>
      <c r="I36" s="44">
        <f t="shared" si="10"/>
        <v>0</v>
      </c>
      <c r="J36" s="44">
        <f t="shared" si="10"/>
        <v>0</v>
      </c>
      <c r="K36" s="44">
        <f t="shared" si="10"/>
        <v>0</v>
      </c>
      <c r="L36" s="44">
        <f t="shared" si="10"/>
        <v>0</v>
      </c>
      <c r="M36" s="44">
        <f t="shared" si="10"/>
        <v>0</v>
      </c>
      <c r="N36" s="44">
        <f t="shared" si="10"/>
        <v>0</v>
      </c>
      <c r="O36" s="44">
        <f t="shared" si="10"/>
        <v>0</v>
      </c>
      <c r="P36" s="44">
        <f t="shared" si="10"/>
        <v>0</v>
      </c>
      <c r="Q36" s="44">
        <f t="shared" si="10"/>
        <v>0</v>
      </c>
      <c r="R36" s="44">
        <f t="shared" si="10"/>
        <v>0</v>
      </c>
      <c r="S36" s="44">
        <f t="shared" si="10"/>
        <v>0</v>
      </c>
      <c r="T36" s="44">
        <f t="shared" si="10"/>
        <v>0</v>
      </c>
      <c r="U36" s="44">
        <f t="shared" si="10"/>
        <v>0</v>
      </c>
      <c r="V36" s="44">
        <f t="shared" si="10"/>
        <v>0</v>
      </c>
      <c r="W36" s="44">
        <f t="shared" si="10"/>
        <v>0</v>
      </c>
      <c r="X36" s="44">
        <f t="shared" si="10"/>
        <v>0</v>
      </c>
      <c r="Y36" s="44">
        <f t="shared" si="10"/>
        <v>0</v>
      </c>
      <c r="Z36" s="44">
        <f t="shared" si="10"/>
        <v>0</v>
      </c>
      <c r="AA36" s="44">
        <f t="shared" si="10"/>
        <v>0</v>
      </c>
      <c r="AB36" s="44">
        <f t="shared" si="10"/>
        <v>0</v>
      </c>
      <c r="AC36" s="44">
        <f t="shared" si="10"/>
        <v>0</v>
      </c>
      <c r="AD36" s="44">
        <f t="shared" si="10"/>
        <v>0</v>
      </c>
      <c r="AE36" s="44">
        <f t="shared" si="10"/>
        <v>0</v>
      </c>
      <c r="AF36" s="44">
        <f t="shared" si="10"/>
        <v>0</v>
      </c>
      <c r="AG36" s="44">
        <f t="shared" si="10"/>
        <v>0</v>
      </c>
      <c r="AH36" s="44">
        <f t="shared" si="10"/>
        <v>0</v>
      </c>
      <c r="AI36" s="44">
        <f t="shared" si="10"/>
        <v>0</v>
      </c>
      <c r="AJ36" s="44">
        <f t="shared" si="10"/>
        <v>0</v>
      </c>
      <c r="AK36" s="44">
        <f t="shared" si="10"/>
        <v>0</v>
      </c>
      <c r="AL36" s="44">
        <f t="shared" si="10"/>
        <v>0</v>
      </c>
      <c r="AM36" s="44">
        <f t="shared" si="10"/>
        <v>0</v>
      </c>
      <c r="AN36" s="44">
        <f t="shared" si="10"/>
        <v>0</v>
      </c>
      <c r="AO36" s="44">
        <f t="shared" si="10"/>
        <v>0</v>
      </c>
      <c r="AP36" s="44">
        <f t="shared" si="10"/>
        <v>0</v>
      </c>
      <c r="AQ36" s="44">
        <f t="shared" si="10"/>
        <v>0</v>
      </c>
      <c r="AR36" s="44">
        <f t="shared" si="10"/>
        <v>0</v>
      </c>
      <c r="AS36" s="44">
        <f t="shared" si="10"/>
        <v>0</v>
      </c>
      <c r="AT36" s="44">
        <f t="shared" si="10"/>
        <v>0</v>
      </c>
      <c r="AU36" s="44">
        <f t="shared" si="10"/>
        <v>0</v>
      </c>
      <c r="AV36" s="44">
        <f t="shared" si="10"/>
        <v>0</v>
      </c>
      <c r="AW36" s="44">
        <f t="shared" si="10"/>
        <v>0</v>
      </c>
      <c r="AX36" s="44">
        <f t="shared" si="10"/>
        <v>0</v>
      </c>
      <c r="AY36" s="44">
        <f t="shared" si="10"/>
        <v>0</v>
      </c>
      <c r="AZ36" s="44">
        <f t="shared" si="10"/>
        <v>0</v>
      </c>
      <c r="BA36" s="44">
        <f t="shared" si="10"/>
        <v>0</v>
      </c>
      <c r="BB36" s="44">
        <f t="shared" si="10"/>
        <v>0</v>
      </c>
      <c r="BC36" s="44">
        <f t="shared" si="10"/>
        <v>0</v>
      </c>
      <c r="BD36" s="44">
        <f t="shared" si="10"/>
        <v>0</v>
      </c>
      <c r="BE36" s="44">
        <f t="shared" si="10"/>
        <v>0</v>
      </c>
      <c r="BF36" s="44">
        <f t="shared" si="10"/>
        <v>0</v>
      </c>
      <c r="BG36" s="44">
        <f t="shared" si="10"/>
        <v>0</v>
      </c>
      <c r="BH36" s="44">
        <f t="shared" si="10"/>
        <v>0</v>
      </c>
      <c r="BI36" s="44">
        <f t="shared" si="10"/>
        <v>0</v>
      </c>
      <c r="BJ36" s="44">
        <f t="shared" si="10"/>
        <v>0</v>
      </c>
      <c r="BK36" s="44">
        <f t="shared" si="10"/>
        <v>0</v>
      </c>
      <c r="BL36" s="44">
        <f t="shared" si="10"/>
        <v>0</v>
      </c>
      <c r="BM36" s="44">
        <f t="shared" si="10"/>
        <v>0</v>
      </c>
      <c r="BN36" s="44">
        <f t="shared" si="10"/>
        <v>0</v>
      </c>
      <c r="BO36" s="44">
        <f t="shared" si="10"/>
        <v>0</v>
      </c>
      <c r="BP36" s="44">
        <f t="shared" si="10"/>
        <v>0</v>
      </c>
      <c r="BQ36" s="44">
        <f t="shared" si="10"/>
        <v>0</v>
      </c>
      <c r="BR36" s="44">
        <f t="shared" ref="BR36:EC36" si="11">SUM(BR37:BR41)</f>
        <v>0</v>
      </c>
      <c r="BS36" s="44">
        <f t="shared" si="11"/>
        <v>0</v>
      </c>
      <c r="BT36" s="44">
        <f t="shared" si="11"/>
        <v>0</v>
      </c>
      <c r="BU36" s="44">
        <f t="shared" si="11"/>
        <v>0</v>
      </c>
      <c r="BV36" s="44">
        <f t="shared" si="11"/>
        <v>0</v>
      </c>
      <c r="BW36" s="44">
        <f t="shared" si="11"/>
        <v>0</v>
      </c>
      <c r="BX36" s="44">
        <f t="shared" si="11"/>
        <v>0</v>
      </c>
      <c r="BY36" s="44">
        <f t="shared" si="11"/>
        <v>0</v>
      </c>
      <c r="BZ36" s="44">
        <f t="shared" si="11"/>
        <v>0</v>
      </c>
      <c r="CA36" s="44">
        <f t="shared" si="11"/>
        <v>0</v>
      </c>
      <c r="CB36" s="44">
        <f t="shared" si="11"/>
        <v>0</v>
      </c>
      <c r="CC36" s="44">
        <f t="shared" si="11"/>
        <v>0</v>
      </c>
      <c r="CD36" s="44">
        <f t="shared" si="11"/>
        <v>0</v>
      </c>
      <c r="CE36" s="44">
        <f t="shared" si="11"/>
        <v>0</v>
      </c>
      <c r="CF36" s="44">
        <f t="shared" si="11"/>
        <v>0</v>
      </c>
      <c r="CG36" s="44">
        <f t="shared" si="11"/>
        <v>0</v>
      </c>
      <c r="CH36" s="44">
        <f t="shared" si="11"/>
        <v>0</v>
      </c>
      <c r="CI36" s="44">
        <f t="shared" si="11"/>
        <v>0</v>
      </c>
      <c r="CJ36" s="44">
        <f t="shared" si="11"/>
        <v>0</v>
      </c>
      <c r="CK36" s="44">
        <f t="shared" si="11"/>
        <v>0</v>
      </c>
      <c r="CL36" s="44">
        <f t="shared" si="11"/>
        <v>0</v>
      </c>
      <c r="CM36" s="44">
        <f t="shared" si="11"/>
        <v>0</v>
      </c>
      <c r="CN36" s="44">
        <f t="shared" si="11"/>
        <v>0</v>
      </c>
      <c r="CO36" s="44">
        <f t="shared" si="11"/>
        <v>0</v>
      </c>
      <c r="CP36" s="44">
        <f t="shared" si="11"/>
        <v>0</v>
      </c>
      <c r="CQ36" s="44">
        <f t="shared" si="11"/>
        <v>0</v>
      </c>
      <c r="CR36" s="44">
        <f t="shared" si="11"/>
        <v>0</v>
      </c>
      <c r="CS36" s="44">
        <f t="shared" si="11"/>
        <v>0</v>
      </c>
      <c r="CT36" s="44">
        <f t="shared" si="11"/>
        <v>0</v>
      </c>
      <c r="CU36" s="44">
        <f t="shared" si="11"/>
        <v>0</v>
      </c>
      <c r="CV36" s="44">
        <f t="shared" si="11"/>
        <v>0</v>
      </c>
      <c r="CW36" s="44">
        <f t="shared" si="11"/>
        <v>0</v>
      </c>
      <c r="CX36" s="44">
        <f t="shared" si="11"/>
        <v>0</v>
      </c>
      <c r="CY36" s="44">
        <f t="shared" si="11"/>
        <v>0</v>
      </c>
      <c r="CZ36" s="44">
        <f t="shared" si="11"/>
        <v>0</v>
      </c>
      <c r="DA36" s="44">
        <f t="shared" si="11"/>
        <v>0</v>
      </c>
      <c r="DB36" s="44">
        <f t="shared" si="11"/>
        <v>0</v>
      </c>
      <c r="DC36" s="44">
        <f t="shared" si="11"/>
        <v>0</v>
      </c>
      <c r="DD36" s="44">
        <f t="shared" si="11"/>
        <v>0</v>
      </c>
      <c r="DE36" s="44">
        <f t="shared" si="11"/>
        <v>0</v>
      </c>
      <c r="DF36" s="44">
        <f t="shared" si="11"/>
        <v>0</v>
      </c>
      <c r="DG36" s="44">
        <f t="shared" si="11"/>
        <v>0</v>
      </c>
      <c r="DH36" s="44">
        <f t="shared" si="11"/>
        <v>0</v>
      </c>
      <c r="DI36" s="44">
        <f t="shared" si="11"/>
        <v>0</v>
      </c>
      <c r="DJ36" s="44">
        <f t="shared" si="11"/>
        <v>0</v>
      </c>
      <c r="DK36" s="44">
        <f t="shared" si="11"/>
        <v>0</v>
      </c>
      <c r="DL36" s="44">
        <f t="shared" si="11"/>
        <v>0</v>
      </c>
      <c r="DM36" s="44">
        <f t="shared" si="11"/>
        <v>0</v>
      </c>
      <c r="DN36" s="44">
        <f t="shared" si="11"/>
        <v>0</v>
      </c>
      <c r="DO36" s="44">
        <f t="shared" si="11"/>
        <v>0</v>
      </c>
      <c r="DP36" s="44">
        <f t="shared" si="11"/>
        <v>0</v>
      </c>
      <c r="DQ36" s="44">
        <f t="shared" si="11"/>
        <v>0</v>
      </c>
      <c r="DR36" s="44">
        <f t="shared" si="11"/>
        <v>0</v>
      </c>
      <c r="DS36" s="44">
        <f t="shared" si="11"/>
        <v>0</v>
      </c>
      <c r="DT36" s="44">
        <f t="shared" si="11"/>
        <v>0</v>
      </c>
      <c r="DU36" s="44">
        <f t="shared" si="11"/>
        <v>0</v>
      </c>
      <c r="DV36" s="44">
        <f t="shared" si="11"/>
        <v>0</v>
      </c>
      <c r="DW36" s="44">
        <f t="shared" si="11"/>
        <v>0</v>
      </c>
      <c r="DX36" s="44">
        <f t="shared" si="11"/>
        <v>0</v>
      </c>
      <c r="DY36" s="44">
        <f t="shared" si="11"/>
        <v>0</v>
      </c>
      <c r="DZ36" s="44">
        <f t="shared" si="11"/>
        <v>0</v>
      </c>
      <c r="EA36" s="44">
        <f t="shared" si="11"/>
        <v>0</v>
      </c>
      <c r="EB36" s="44">
        <f t="shared" si="11"/>
        <v>0</v>
      </c>
      <c r="EC36" s="44">
        <f t="shared" si="11"/>
        <v>0</v>
      </c>
      <c r="ED36" s="44">
        <f t="shared" ref="ED36:FX36" si="12">SUM(ED37:ED41)</f>
        <v>0</v>
      </c>
      <c r="EE36" s="44">
        <f t="shared" si="12"/>
        <v>0</v>
      </c>
      <c r="EF36" s="44">
        <f t="shared" si="12"/>
        <v>0</v>
      </c>
      <c r="EG36" s="44">
        <f t="shared" si="12"/>
        <v>0</v>
      </c>
      <c r="EH36" s="44">
        <f t="shared" si="12"/>
        <v>0</v>
      </c>
      <c r="EI36" s="44">
        <f t="shared" si="12"/>
        <v>0</v>
      </c>
      <c r="EJ36" s="44">
        <f t="shared" si="12"/>
        <v>0</v>
      </c>
      <c r="EK36" s="44">
        <f t="shared" si="12"/>
        <v>0</v>
      </c>
      <c r="EL36" s="44">
        <f t="shared" si="12"/>
        <v>0</v>
      </c>
      <c r="EM36" s="44">
        <f t="shared" si="12"/>
        <v>0</v>
      </c>
      <c r="EN36" s="44">
        <f t="shared" si="12"/>
        <v>0</v>
      </c>
      <c r="EO36" s="44">
        <f t="shared" si="12"/>
        <v>0</v>
      </c>
      <c r="EP36" s="44">
        <f t="shared" si="12"/>
        <v>0</v>
      </c>
      <c r="EQ36" s="44">
        <f t="shared" si="12"/>
        <v>0</v>
      </c>
      <c r="ER36" s="44">
        <f t="shared" si="12"/>
        <v>0</v>
      </c>
      <c r="ES36" s="44">
        <f t="shared" si="12"/>
        <v>0</v>
      </c>
      <c r="ET36" s="44">
        <f t="shared" si="12"/>
        <v>0</v>
      </c>
      <c r="EU36" s="44">
        <f t="shared" si="12"/>
        <v>0</v>
      </c>
      <c r="EV36" s="44">
        <f t="shared" si="12"/>
        <v>0</v>
      </c>
      <c r="EW36" s="44">
        <f t="shared" si="12"/>
        <v>0</v>
      </c>
      <c r="EX36" s="44">
        <f t="shared" si="12"/>
        <v>0</v>
      </c>
      <c r="EY36" s="44">
        <f t="shared" si="12"/>
        <v>0</v>
      </c>
      <c r="EZ36" s="44">
        <f t="shared" si="12"/>
        <v>0</v>
      </c>
      <c r="FA36" s="44">
        <f t="shared" si="12"/>
        <v>0</v>
      </c>
      <c r="FB36" s="44">
        <f t="shared" si="12"/>
        <v>0</v>
      </c>
      <c r="FC36" s="44">
        <f t="shared" si="12"/>
        <v>0</v>
      </c>
      <c r="FD36" s="44">
        <f t="shared" si="12"/>
        <v>0</v>
      </c>
      <c r="FE36" s="44">
        <f t="shared" si="12"/>
        <v>0</v>
      </c>
      <c r="FF36" s="44">
        <f t="shared" si="12"/>
        <v>0</v>
      </c>
      <c r="FG36" s="44">
        <f t="shared" si="12"/>
        <v>0</v>
      </c>
      <c r="FH36" s="44">
        <f t="shared" si="12"/>
        <v>0</v>
      </c>
      <c r="FI36" s="44">
        <f t="shared" si="12"/>
        <v>0</v>
      </c>
      <c r="FJ36" s="44">
        <f t="shared" si="12"/>
        <v>0</v>
      </c>
      <c r="FK36" s="44">
        <f t="shared" si="12"/>
        <v>0</v>
      </c>
      <c r="FL36" s="44">
        <f t="shared" si="12"/>
        <v>0</v>
      </c>
      <c r="FM36" s="44">
        <f t="shared" si="12"/>
        <v>0</v>
      </c>
      <c r="FN36" s="44">
        <f t="shared" si="12"/>
        <v>0</v>
      </c>
      <c r="FO36" s="44">
        <f t="shared" si="12"/>
        <v>0</v>
      </c>
      <c r="FP36" s="44">
        <f t="shared" si="12"/>
        <v>0</v>
      </c>
      <c r="FQ36" s="44">
        <f t="shared" si="12"/>
        <v>0</v>
      </c>
      <c r="FR36" s="44">
        <f t="shared" si="12"/>
        <v>0</v>
      </c>
      <c r="FS36" s="44">
        <f t="shared" si="12"/>
        <v>0</v>
      </c>
      <c r="FT36" s="44">
        <f t="shared" si="12"/>
        <v>0</v>
      </c>
      <c r="FU36" s="44">
        <f t="shared" si="12"/>
        <v>0</v>
      </c>
      <c r="FV36" s="44">
        <f t="shared" si="12"/>
        <v>0</v>
      </c>
      <c r="FW36" s="44">
        <f t="shared" si="12"/>
        <v>0</v>
      </c>
      <c r="FX36" s="44">
        <f t="shared" si="12"/>
        <v>0</v>
      </c>
    </row>
    <row r="37" spans="1:180" ht="15.75" customHeight="1" x14ac:dyDescent="0.25">
      <c r="A37" s="3" t="s">
        <v>212</v>
      </c>
      <c r="B37" s="2"/>
      <c r="C37" s="43" t="s">
        <v>268</v>
      </c>
      <c r="D37" s="44">
        <f t="shared" si="0"/>
        <v>0</v>
      </c>
      <c r="E37" s="45"/>
      <c r="F37" s="45"/>
      <c r="G37" s="45"/>
      <c r="H37" s="45"/>
      <c r="I37" s="45"/>
      <c r="J37" s="45"/>
      <c r="K37" s="56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6"/>
      <c r="FR37" s="46"/>
      <c r="FS37" s="46"/>
      <c r="FT37" s="46"/>
      <c r="FU37" s="46"/>
      <c r="FV37" s="46"/>
      <c r="FW37" s="46"/>
      <c r="FX37" s="46"/>
    </row>
    <row r="38" spans="1:180" ht="15.75" customHeight="1" x14ac:dyDescent="0.25">
      <c r="A38" s="3" t="s">
        <v>213</v>
      </c>
      <c r="B38" s="2"/>
      <c r="C38" s="43" t="s">
        <v>270</v>
      </c>
      <c r="D38" s="44">
        <f t="shared" si="0"/>
        <v>0</v>
      </c>
      <c r="E38" s="45"/>
      <c r="F38" s="45"/>
      <c r="G38" s="45"/>
      <c r="H38" s="45"/>
      <c r="I38" s="45"/>
      <c r="J38" s="45"/>
      <c r="K38" s="56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6"/>
      <c r="FR38" s="46"/>
      <c r="FS38" s="46"/>
      <c r="FT38" s="46"/>
      <c r="FU38" s="46"/>
      <c r="FV38" s="46"/>
      <c r="FW38" s="46"/>
      <c r="FX38" s="46"/>
    </row>
    <row r="39" spans="1:180" ht="15.75" customHeight="1" x14ac:dyDescent="0.25">
      <c r="A39" s="3" t="s">
        <v>214</v>
      </c>
      <c r="B39" s="2"/>
      <c r="C39" s="43" t="s">
        <v>271</v>
      </c>
      <c r="D39" s="44">
        <f t="shared" si="0"/>
        <v>0</v>
      </c>
      <c r="E39" s="45"/>
      <c r="F39" s="45"/>
      <c r="G39" s="45"/>
      <c r="H39" s="45"/>
      <c r="I39" s="45"/>
      <c r="J39" s="45"/>
      <c r="K39" s="56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6"/>
      <c r="FR39" s="46"/>
      <c r="FS39" s="46"/>
      <c r="FT39" s="46"/>
      <c r="FU39" s="46"/>
      <c r="FV39" s="46"/>
      <c r="FW39" s="46"/>
      <c r="FX39" s="46"/>
    </row>
    <row r="40" spans="1:180" ht="15.75" customHeight="1" x14ac:dyDescent="0.25">
      <c r="A40" s="3" t="s">
        <v>215</v>
      </c>
      <c r="B40" s="2"/>
      <c r="C40" s="43" t="s">
        <v>216</v>
      </c>
      <c r="D40" s="44">
        <f t="shared" si="0"/>
        <v>0</v>
      </c>
      <c r="E40" s="45"/>
      <c r="F40" s="45"/>
      <c r="G40" s="45"/>
      <c r="H40" s="45"/>
      <c r="I40" s="45"/>
      <c r="J40" s="45"/>
      <c r="K40" s="56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6"/>
      <c r="FR40" s="46"/>
      <c r="FS40" s="46"/>
      <c r="FT40" s="46"/>
      <c r="FU40" s="46"/>
      <c r="FV40" s="46"/>
      <c r="FW40" s="46"/>
      <c r="FX40" s="46"/>
    </row>
    <row r="41" spans="1:180" ht="15.75" customHeight="1" x14ac:dyDescent="0.25">
      <c r="A41" s="3" t="s">
        <v>217</v>
      </c>
      <c r="B41" s="2"/>
      <c r="C41" s="43" t="s">
        <v>272</v>
      </c>
      <c r="D41" s="44">
        <f t="shared" si="0"/>
        <v>0</v>
      </c>
      <c r="E41" s="45"/>
      <c r="F41" s="58"/>
      <c r="G41" s="58"/>
      <c r="H41" s="58"/>
      <c r="I41" s="58"/>
      <c r="J41" s="58"/>
      <c r="K41" s="59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6"/>
      <c r="FR41" s="46"/>
      <c r="FS41" s="46"/>
      <c r="FT41" s="46"/>
      <c r="FU41" s="46"/>
      <c r="FV41" s="46"/>
      <c r="FW41" s="46"/>
      <c r="FX41" s="46"/>
    </row>
    <row r="42" spans="1:180" ht="15.75" customHeight="1" x14ac:dyDescent="0.25">
      <c r="A42" s="3" t="s">
        <v>218</v>
      </c>
      <c r="B42" s="2" t="s">
        <v>273</v>
      </c>
      <c r="C42" s="40" t="s">
        <v>274</v>
      </c>
      <c r="D42" s="44">
        <f t="shared" si="0"/>
        <v>0</v>
      </c>
      <c r="E42" s="45"/>
      <c r="F42" s="58"/>
      <c r="G42" s="58"/>
      <c r="H42" s="58"/>
      <c r="I42" s="58"/>
      <c r="J42" s="58"/>
      <c r="K42" s="59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6"/>
      <c r="FR42" s="46"/>
      <c r="FS42" s="46"/>
      <c r="FT42" s="46"/>
      <c r="FU42" s="46"/>
      <c r="FV42" s="46"/>
      <c r="FW42" s="46"/>
      <c r="FX42" s="46"/>
    </row>
    <row r="43" spans="1:180" ht="15.75" customHeight="1" x14ac:dyDescent="0.25">
      <c r="A43" s="1" t="s">
        <v>219</v>
      </c>
      <c r="B43" s="1" t="s">
        <v>275</v>
      </c>
      <c r="C43" s="42" t="s">
        <v>276</v>
      </c>
      <c r="D43" s="44">
        <f t="shared" si="0"/>
        <v>0</v>
      </c>
      <c r="E43" s="60">
        <f>SUM(E44:E54)+E57+E58</f>
        <v>0</v>
      </c>
      <c r="F43" s="60">
        <f t="shared" ref="F43:BQ43" si="13">SUM(F44:F54)+F57+F58</f>
        <v>0</v>
      </c>
      <c r="G43" s="60">
        <f t="shared" si="13"/>
        <v>0</v>
      </c>
      <c r="H43" s="60">
        <f t="shared" si="13"/>
        <v>0</v>
      </c>
      <c r="I43" s="60">
        <f t="shared" si="13"/>
        <v>0</v>
      </c>
      <c r="J43" s="60">
        <f t="shared" si="13"/>
        <v>0</v>
      </c>
      <c r="K43" s="60">
        <f t="shared" si="13"/>
        <v>0</v>
      </c>
      <c r="L43" s="60">
        <f t="shared" si="13"/>
        <v>0</v>
      </c>
      <c r="M43" s="60">
        <f t="shared" si="13"/>
        <v>0</v>
      </c>
      <c r="N43" s="60">
        <f t="shared" si="13"/>
        <v>0</v>
      </c>
      <c r="O43" s="60">
        <f t="shared" si="13"/>
        <v>0</v>
      </c>
      <c r="P43" s="60">
        <f t="shared" si="13"/>
        <v>0</v>
      </c>
      <c r="Q43" s="60">
        <f t="shared" si="13"/>
        <v>0</v>
      </c>
      <c r="R43" s="60">
        <f t="shared" si="13"/>
        <v>0</v>
      </c>
      <c r="S43" s="60">
        <f t="shared" si="13"/>
        <v>0</v>
      </c>
      <c r="T43" s="60">
        <f t="shared" si="13"/>
        <v>0</v>
      </c>
      <c r="U43" s="60">
        <f t="shared" si="13"/>
        <v>0</v>
      </c>
      <c r="V43" s="60">
        <f t="shared" si="13"/>
        <v>0</v>
      </c>
      <c r="W43" s="60">
        <f t="shared" si="13"/>
        <v>0</v>
      </c>
      <c r="X43" s="60">
        <f t="shared" si="13"/>
        <v>0</v>
      </c>
      <c r="Y43" s="60">
        <f t="shared" si="13"/>
        <v>0</v>
      </c>
      <c r="Z43" s="60">
        <f t="shared" si="13"/>
        <v>0</v>
      </c>
      <c r="AA43" s="60">
        <f t="shared" si="13"/>
        <v>0</v>
      </c>
      <c r="AB43" s="60">
        <f t="shared" si="13"/>
        <v>0</v>
      </c>
      <c r="AC43" s="60">
        <f t="shared" si="13"/>
        <v>0</v>
      </c>
      <c r="AD43" s="60">
        <f t="shared" si="13"/>
        <v>0</v>
      </c>
      <c r="AE43" s="60">
        <f t="shared" si="13"/>
        <v>0</v>
      </c>
      <c r="AF43" s="60">
        <f t="shared" si="13"/>
        <v>0</v>
      </c>
      <c r="AG43" s="60">
        <f t="shared" si="13"/>
        <v>0</v>
      </c>
      <c r="AH43" s="60">
        <f t="shared" si="13"/>
        <v>0</v>
      </c>
      <c r="AI43" s="60">
        <f t="shared" si="13"/>
        <v>0</v>
      </c>
      <c r="AJ43" s="60">
        <f t="shared" si="13"/>
        <v>0</v>
      </c>
      <c r="AK43" s="60">
        <f t="shared" si="13"/>
        <v>0</v>
      </c>
      <c r="AL43" s="60">
        <f t="shared" si="13"/>
        <v>0</v>
      </c>
      <c r="AM43" s="60">
        <f t="shared" si="13"/>
        <v>0</v>
      </c>
      <c r="AN43" s="60">
        <f t="shared" si="13"/>
        <v>0</v>
      </c>
      <c r="AO43" s="60">
        <f t="shared" si="13"/>
        <v>0</v>
      </c>
      <c r="AP43" s="60">
        <f t="shared" si="13"/>
        <v>0</v>
      </c>
      <c r="AQ43" s="60">
        <f t="shared" si="13"/>
        <v>0</v>
      </c>
      <c r="AR43" s="60">
        <f t="shared" si="13"/>
        <v>0</v>
      </c>
      <c r="AS43" s="60">
        <f t="shared" si="13"/>
        <v>0</v>
      </c>
      <c r="AT43" s="60">
        <f t="shared" si="13"/>
        <v>0</v>
      </c>
      <c r="AU43" s="60">
        <f t="shared" si="13"/>
        <v>0</v>
      </c>
      <c r="AV43" s="60">
        <f t="shared" si="13"/>
        <v>0</v>
      </c>
      <c r="AW43" s="60">
        <f t="shared" si="13"/>
        <v>0</v>
      </c>
      <c r="AX43" s="60">
        <f t="shared" si="13"/>
        <v>0</v>
      </c>
      <c r="AY43" s="60">
        <f t="shared" si="13"/>
        <v>0</v>
      </c>
      <c r="AZ43" s="60">
        <f t="shared" si="13"/>
        <v>0</v>
      </c>
      <c r="BA43" s="60">
        <f t="shared" si="13"/>
        <v>0</v>
      </c>
      <c r="BB43" s="60">
        <f t="shared" si="13"/>
        <v>0</v>
      </c>
      <c r="BC43" s="60">
        <f t="shared" si="13"/>
        <v>0</v>
      </c>
      <c r="BD43" s="60">
        <f t="shared" si="13"/>
        <v>0</v>
      </c>
      <c r="BE43" s="60">
        <f t="shared" si="13"/>
        <v>0</v>
      </c>
      <c r="BF43" s="60">
        <f t="shared" si="13"/>
        <v>0</v>
      </c>
      <c r="BG43" s="60">
        <f t="shared" si="13"/>
        <v>0</v>
      </c>
      <c r="BH43" s="60">
        <f t="shared" si="13"/>
        <v>0</v>
      </c>
      <c r="BI43" s="60">
        <f t="shared" si="13"/>
        <v>0</v>
      </c>
      <c r="BJ43" s="60">
        <f t="shared" si="13"/>
        <v>0</v>
      </c>
      <c r="BK43" s="60">
        <f t="shared" si="13"/>
        <v>0</v>
      </c>
      <c r="BL43" s="60">
        <f t="shared" si="13"/>
        <v>0</v>
      </c>
      <c r="BM43" s="60">
        <f t="shared" si="13"/>
        <v>0</v>
      </c>
      <c r="BN43" s="60">
        <f t="shared" si="13"/>
        <v>0</v>
      </c>
      <c r="BO43" s="60">
        <f t="shared" si="13"/>
        <v>0</v>
      </c>
      <c r="BP43" s="60">
        <f t="shared" si="13"/>
        <v>0</v>
      </c>
      <c r="BQ43" s="60">
        <f t="shared" si="13"/>
        <v>0</v>
      </c>
      <c r="BR43" s="60">
        <f t="shared" ref="BR43:EC43" si="14">SUM(BR44:BR54)+BR57+BR58</f>
        <v>0</v>
      </c>
      <c r="BS43" s="60">
        <f t="shared" si="14"/>
        <v>0</v>
      </c>
      <c r="BT43" s="60">
        <f t="shared" si="14"/>
        <v>0</v>
      </c>
      <c r="BU43" s="60">
        <f t="shared" si="14"/>
        <v>0</v>
      </c>
      <c r="BV43" s="60">
        <f t="shared" si="14"/>
        <v>0</v>
      </c>
      <c r="BW43" s="60">
        <f t="shared" si="14"/>
        <v>0</v>
      </c>
      <c r="BX43" s="60">
        <f t="shared" si="14"/>
        <v>0</v>
      </c>
      <c r="BY43" s="60">
        <f t="shared" si="14"/>
        <v>0</v>
      </c>
      <c r="BZ43" s="60">
        <f t="shared" si="14"/>
        <v>0</v>
      </c>
      <c r="CA43" s="60">
        <f t="shared" si="14"/>
        <v>0</v>
      </c>
      <c r="CB43" s="60">
        <f t="shared" si="14"/>
        <v>0</v>
      </c>
      <c r="CC43" s="60">
        <f t="shared" si="14"/>
        <v>0</v>
      </c>
      <c r="CD43" s="60">
        <f t="shared" si="14"/>
        <v>0</v>
      </c>
      <c r="CE43" s="60">
        <f t="shared" si="14"/>
        <v>0</v>
      </c>
      <c r="CF43" s="60">
        <f t="shared" si="14"/>
        <v>0</v>
      </c>
      <c r="CG43" s="60">
        <f t="shared" si="14"/>
        <v>0</v>
      </c>
      <c r="CH43" s="60">
        <f t="shared" si="14"/>
        <v>0</v>
      </c>
      <c r="CI43" s="60">
        <f t="shared" si="14"/>
        <v>0</v>
      </c>
      <c r="CJ43" s="60">
        <f t="shared" si="14"/>
        <v>0</v>
      </c>
      <c r="CK43" s="60">
        <f t="shared" si="14"/>
        <v>0</v>
      </c>
      <c r="CL43" s="60">
        <f t="shared" si="14"/>
        <v>0</v>
      </c>
      <c r="CM43" s="60">
        <f t="shared" si="14"/>
        <v>0</v>
      </c>
      <c r="CN43" s="60">
        <f t="shared" si="14"/>
        <v>0</v>
      </c>
      <c r="CO43" s="60">
        <f t="shared" si="14"/>
        <v>0</v>
      </c>
      <c r="CP43" s="60">
        <f t="shared" si="14"/>
        <v>0</v>
      </c>
      <c r="CQ43" s="60">
        <f t="shared" si="14"/>
        <v>0</v>
      </c>
      <c r="CR43" s="60">
        <f t="shared" si="14"/>
        <v>0</v>
      </c>
      <c r="CS43" s="60">
        <f t="shared" si="14"/>
        <v>0</v>
      </c>
      <c r="CT43" s="60">
        <f t="shared" si="14"/>
        <v>0</v>
      </c>
      <c r="CU43" s="60">
        <f t="shared" si="14"/>
        <v>0</v>
      </c>
      <c r="CV43" s="60">
        <f t="shared" si="14"/>
        <v>0</v>
      </c>
      <c r="CW43" s="60">
        <f t="shared" si="14"/>
        <v>0</v>
      </c>
      <c r="CX43" s="60">
        <f t="shared" si="14"/>
        <v>0</v>
      </c>
      <c r="CY43" s="60">
        <f t="shared" si="14"/>
        <v>0</v>
      </c>
      <c r="CZ43" s="60">
        <f t="shared" si="14"/>
        <v>0</v>
      </c>
      <c r="DA43" s="60">
        <f t="shared" si="14"/>
        <v>0</v>
      </c>
      <c r="DB43" s="60">
        <f t="shared" si="14"/>
        <v>0</v>
      </c>
      <c r="DC43" s="60">
        <f t="shared" si="14"/>
        <v>0</v>
      </c>
      <c r="DD43" s="60">
        <f t="shared" si="14"/>
        <v>0</v>
      </c>
      <c r="DE43" s="60">
        <f t="shared" si="14"/>
        <v>0</v>
      </c>
      <c r="DF43" s="60">
        <f t="shared" si="14"/>
        <v>0</v>
      </c>
      <c r="DG43" s="60">
        <f t="shared" si="14"/>
        <v>0</v>
      </c>
      <c r="DH43" s="60">
        <f t="shared" si="14"/>
        <v>0</v>
      </c>
      <c r="DI43" s="60">
        <f t="shared" si="14"/>
        <v>0</v>
      </c>
      <c r="DJ43" s="60">
        <f t="shared" si="14"/>
        <v>0</v>
      </c>
      <c r="DK43" s="60">
        <f t="shared" si="14"/>
        <v>0</v>
      </c>
      <c r="DL43" s="60">
        <f t="shared" si="14"/>
        <v>0</v>
      </c>
      <c r="DM43" s="60">
        <f t="shared" si="14"/>
        <v>0</v>
      </c>
      <c r="DN43" s="60">
        <f t="shared" si="14"/>
        <v>0</v>
      </c>
      <c r="DO43" s="60">
        <f t="shared" si="14"/>
        <v>0</v>
      </c>
      <c r="DP43" s="60">
        <f t="shared" si="14"/>
        <v>0</v>
      </c>
      <c r="DQ43" s="60">
        <f t="shared" si="14"/>
        <v>0</v>
      </c>
      <c r="DR43" s="60">
        <f t="shared" si="14"/>
        <v>0</v>
      </c>
      <c r="DS43" s="60">
        <f t="shared" si="14"/>
        <v>0</v>
      </c>
      <c r="DT43" s="60">
        <f t="shared" si="14"/>
        <v>0</v>
      </c>
      <c r="DU43" s="60">
        <f t="shared" si="14"/>
        <v>0</v>
      </c>
      <c r="DV43" s="60">
        <f t="shared" si="14"/>
        <v>0</v>
      </c>
      <c r="DW43" s="60">
        <f t="shared" si="14"/>
        <v>0</v>
      </c>
      <c r="DX43" s="60">
        <f t="shared" si="14"/>
        <v>0</v>
      </c>
      <c r="DY43" s="60">
        <f t="shared" si="14"/>
        <v>0</v>
      </c>
      <c r="DZ43" s="60">
        <f t="shared" si="14"/>
        <v>0</v>
      </c>
      <c r="EA43" s="60">
        <f t="shared" si="14"/>
        <v>0</v>
      </c>
      <c r="EB43" s="60">
        <f t="shared" si="14"/>
        <v>0</v>
      </c>
      <c r="EC43" s="60">
        <f t="shared" si="14"/>
        <v>0</v>
      </c>
      <c r="ED43" s="60">
        <f t="shared" ref="ED43:FX43" si="15">SUM(ED44:ED54)+ED57+ED58</f>
        <v>0</v>
      </c>
      <c r="EE43" s="60">
        <f t="shared" si="15"/>
        <v>0</v>
      </c>
      <c r="EF43" s="60">
        <f t="shared" si="15"/>
        <v>0</v>
      </c>
      <c r="EG43" s="60">
        <f t="shared" si="15"/>
        <v>0</v>
      </c>
      <c r="EH43" s="60">
        <f t="shared" si="15"/>
        <v>0</v>
      </c>
      <c r="EI43" s="60">
        <f t="shared" si="15"/>
        <v>0</v>
      </c>
      <c r="EJ43" s="60">
        <f t="shared" si="15"/>
        <v>0</v>
      </c>
      <c r="EK43" s="60">
        <f t="shared" si="15"/>
        <v>0</v>
      </c>
      <c r="EL43" s="60">
        <f t="shared" si="15"/>
        <v>0</v>
      </c>
      <c r="EM43" s="60">
        <f t="shared" si="15"/>
        <v>0</v>
      </c>
      <c r="EN43" s="60">
        <f t="shared" si="15"/>
        <v>0</v>
      </c>
      <c r="EO43" s="60">
        <f t="shared" si="15"/>
        <v>0</v>
      </c>
      <c r="EP43" s="60">
        <f t="shared" si="15"/>
        <v>0</v>
      </c>
      <c r="EQ43" s="60">
        <f t="shared" si="15"/>
        <v>0</v>
      </c>
      <c r="ER43" s="60">
        <f t="shared" si="15"/>
        <v>0</v>
      </c>
      <c r="ES43" s="60">
        <f t="shared" si="15"/>
        <v>0</v>
      </c>
      <c r="ET43" s="60">
        <f t="shared" si="15"/>
        <v>0</v>
      </c>
      <c r="EU43" s="60">
        <f t="shared" si="15"/>
        <v>0</v>
      </c>
      <c r="EV43" s="60">
        <f t="shared" si="15"/>
        <v>0</v>
      </c>
      <c r="EW43" s="60">
        <f t="shared" si="15"/>
        <v>0</v>
      </c>
      <c r="EX43" s="60">
        <f t="shared" si="15"/>
        <v>0</v>
      </c>
      <c r="EY43" s="60">
        <f t="shared" si="15"/>
        <v>0</v>
      </c>
      <c r="EZ43" s="60">
        <f t="shared" si="15"/>
        <v>0</v>
      </c>
      <c r="FA43" s="60">
        <f t="shared" si="15"/>
        <v>0</v>
      </c>
      <c r="FB43" s="60">
        <f t="shared" si="15"/>
        <v>0</v>
      </c>
      <c r="FC43" s="60">
        <f t="shared" si="15"/>
        <v>0</v>
      </c>
      <c r="FD43" s="60">
        <f t="shared" si="15"/>
        <v>0</v>
      </c>
      <c r="FE43" s="60">
        <f t="shared" si="15"/>
        <v>0</v>
      </c>
      <c r="FF43" s="60">
        <f t="shared" si="15"/>
        <v>0</v>
      </c>
      <c r="FG43" s="60">
        <f t="shared" si="15"/>
        <v>0</v>
      </c>
      <c r="FH43" s="60">
        <f t="shared" si="15"/>
        <v>0</v>
      </c>
      <c r="FI43" s="60">
        <f t="shared" si="15"/>
        <v>0</v>
      </c>
      <c r="FJ43" s="60">
        <f t="shared" si="15"/>
        <v>0</v>
      </c>
      <c r="FK43" s="60">
        <f t="shared" si="15"/>
        <v>0</v>
      </c>
      <c r="FL43" s="60">
        <f t="shared" si="15"/>
        <v>0</v>
      </c>
      <c r="FM43" s="60">
        <f t="shared" si="15"/>
        <v>0</v>
      </c>
      <c r="FN43" s="60">
        <f t="shared" si="15"/>
        <v>0</v>
      </c>
      <c r="FO43" s="60">
        <f t="shared" si="15"/>
        <v>0</v>
      </c>
      <c r="FP43" s="60">
        <f t="shared" si="15"/>
        <v>0</v>
      </c>
      <c r="FQ43" s="60">
        <f t="shared" si="15"/>
        <v>0</v>
      </c>
      <c r="FR43" s="60">
        <f t="shared" si="15"/>
        <v>0</v>
      </c>
      <c r="FS43" s="60">
        <f t="shared" si="15"/>
        <v>0</v>
      </c>
      <c r="FT43" s="60">
        <f t="shared" si="15"/>
        <v>0</v>
      </c>
      <c r="FU43" s="60">
        <f t="shared" si="15"/>
        <v>0</v>
      </c>
      <c r="FV43" s="60">
        <f t="shared" si="15"/>
        <v>0</v>
      </c>
      <c r="FW43" s="60">
        <f t="shared" si="15"/>
        <v>0</v>
      </c>
      <c r="FX43" s="60">
        <f t="shared" si="15"/>
        <v>0</v>
      </c>
    </row>
    <row r="44" spans="1:180" ht="15.75" customHeight="1" x14ac:dyDescent="0.25">
      <c r="A44" s="3" t="s">
        <v>220</v>
      </c>
      <c r="B44" s="2">
        <v>1</v>
      </c>
      <c r="C44" s="40" t="s">
        <v>244</v>
      </c>
      <c r="D44" s="44">
        <f t="shared" si="0"/>
        <v>0</v>
      </c>
      <c r="E44" s="45"/>
      <c r="F44" s="58"/>
      <c r="G44" s="58"/>
      <c r="H44" s="58"/>
      <c r="I44" s="58"/>
      <c r="J44" s="58"/>
      <c r="K44" s="59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</row>
    <row r="45" spans="1:180" ht="15.75" customHeight="1" x14ac:dyDescent="0.25">
      <c r="A45" s="3" t="s">
        <v>221</v>
      </c>
      <c r="B45" s="2">
        <v>2</v>
      </c>
      <c r="C45" s="40" t="s">
        <v>245</v>
      </c>
      <c r="D45" s="44">
        <f t="shared" si="0"/>
        <v>0</v>
      </c>
      <c r="E45" s="45"/>
      <c r="F45" s="58"/>
      <c r="G45" s="58"/>
      <c r="H45" s="58"/>
      <c r="I45" s="58"/>
      <c r="J45" s="58"/>
      <c r="K45" s="59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</row>
    <row r="46" spans="1:180" ht="15.75" customHeight="1" x14ac:dyDescent="0.25">
      <c r="A46" s="3" t="s">
        <v>278</v>
      </c>
      <c r="B46" s="2">
        <v>3</v>
      </c>
      <c r="C46" s="40" t="s">
        <v>246</v>
      </c>
      <c r="D46" s="44">
        <f t="shared" si="0"/>
        <v>0</v>
      </c>
      <c r="E46" s="45"/>
      <c r="F46" s="45"/>
      <c r="G46" s="45"/>
      <c r="H46" s="45"/>
      <c r="I46" s="45"/>
      <c r="J46" s="45"/>
      <c r="K46" s="5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</row>
    <row r="47" spans="1:180" ht="15.75" customHeight="1" x14ac:dyDescent="0.25">
      <c r="A47" s="3" t="s">
        <v>279</v>
      </c>
      <c r="B47" s="2">
        <v>4</v>
      </c>
      <c r="C47" s="40" t="s">
        <v>247</v>
      </c>
      <c r="D47" s="44">
        <f t="shared" si="0"/>
        <v>0</v>
      </c>
      <c r="E47" s="45"/>
      <c r="F47" s="58"/>
      <c r="G47" s="58"/>
      <c r="H47" s="58"/>
      <c r="I47" s="58"/>
      <c r="J47" s="58"/>
      <c r="K47" s="59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</row>
    <row r="48" spans="1:180" ht="30.75" customHeight="1" x14ac:dyDescent="0.25">
      <c r="A48" s="3" t="s">
        <v>222</v>
      </c>
      <c r="B48" s="2">
        <v>5</v>
      </c>
      <c r="C48" s="40" t="s">
        <v>277</v>
      </c>
      <c r="D48" s="44">
        <f t="shared" si="0"/>
        <v>0</v>
      </c>
      <c r="E48" s="45"/>
      <c r="F48" s="58"/>
      <c r="G48" s="58"/>
      <c r="H48" s="58"/>
      <c r="I48" s="58"/>
      <c r="J48" s="58"/>
      <c r="K48" s="59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  <c r="EX48" s="46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</row>
    <row r="49" spans="1:180" ht="31.5" customHeight="1" x14ac:dyDescent="0.25">
      <c r="A49" s="3" t="s">
        <v>223</v>
      </c>
      <c r="B49" s="2">
        <v>6</v>
      </c>
      <c r="C49" s="40" t="s">
        <v>250</v>
      </c>
      <c r="D49" s="44">
        <f t="shared" si="0"/>
        <v>0</v>
      </c>
      <c r="E49" s="45"/>
      <c r="F49" s="45"/>
      <c r="G49" s="45"/>
      <c r="H49" s="45"/>
      <c r="I49" s="45"/>
      <c r="J49" s="45"/>
      <c r="K49" s="5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  <c r="EX49" s="46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</row>
    <row r="50" spans="1:180" ht="15.75" customHeight="1" x14ac:dyDescent="0.25">
      <c r="A50" s="3" t="s">
        <v>224</v>
      </c>
      <c r="B50" s="2">
        <v>7</v>
      </c>
      <c r="C50" s="40" t="s">
        <v>252</v>
      </c>
      <c r="D50" s="44">
        <f t="shared" si="0"/>
        <v>0</v>
      </c>
      <c r="E50" s="45"/>
      <c r="F50" s="58"/>
      <c r="G50" s="58"/>
      <c r="H50" s="58"/>
      <c r="I50" s="58"/>
      <c r="J50" s="58"/>
      <c r="K50" s="59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  <c r="EX50" s="46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</row>
    <row r="51" spans="1:180" ht="15.75" customHeight="1" x14ac:dyDescent="0.25">
      <c r="A51" s="3" t="s">
        <v>225</v>
      </c>
      <c r="B51" s="2">
        <v>8</v>
      </c>
      <c r="C51" s="40" t="s">
        <v>253</v>
      </c>
      <c r="D51" s="44">
        <f t="shared" si="0"/>
        <v>0</v>
      </c>
      <c r="E51" s="45"/>
      <c r="F51" s="45"/>
      <c r="G51" s="45"/>
      <c r="H51" s="45"/>
      <c r="I51" s="45"/>
      <c r="J51" s="45"/>
      <c r="K51" s="5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  <c r="EX51" s="46"/>
      <c r="EY51" s="46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</row>
    <row r="52" spans="1:180" ht="15.75" customHeight="1" x14ac:dyDescent="0.25">
      <c r="A52" s="2" t="s">
        <v>226</v>
      </c>
      <c r="B52" s="2">
        <v>9</v>
      </c>
      <c r="C52" s="40" t="s">
        <v>255</v>
      </c>
      <c r="D52" s="44">
        <f t="shared" si="0"/>
        <v>0</v>
      </c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</row>
    <row r="53" spans="1:180" ht="15.75" customHeight="1" x14ac:dyDescent="0.25">
      <c r="A53" s="3" t="s">
        <v>227</v>
      </c>
      <c r="B53" s="2">
        <v>10</v>
      </c>
      <c r="C53" s="40" t="s">
        <v>256</v>
      </c>
      <c r="D53" s="44">
        <f t="shared" si="0"/>
        <v>0</v>
      </c>
      <c r="E53" s="45"/>
      <c r="F53" s="45"/>
      <c r="G53" s="45"/>
      <c r="H53" s="45"/>
      <c r="I53" s="45"/>
      <c r="J53" s="45"/>
      <c r="K53" s="5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  <c r="EX53" s="46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</row>
    <row r="54" spans="1:180" ht="15.75" customHeight="1" x14ac:dyDescent="0.25">
      <c r="A54" s="3" t="s">
        <v>228</v>
      </c>
      <c r="B54" s="2">
        <v>11</v>
      </c>
      <c r="C54" s="40" t="s">
        <v>257</v>
      </c>
      <c r="D54" s="44">
        <f t="shared" si="0"/>
        <v>0</v>
      </c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  <c r="ES54" s="82"/>
      <c r="ET54" s="82"/>
      <c r="EU54" s="82"/>
      <c r="EV54" s="82"/>
      <c r="EW54" s="82"/>
      <c r="EX54" s="82"/>
      <c r="EY54" s="82"/>
      <c r="EZ54" s="82"/>
      <c r="FA54" s="82"/>
      <c r="FB54" s="82"/>
      <c r="FC54" s="82"/>
      <c r="FD54" s="82"/>
      <c r="FE54" s="82"/>
      <c r="FF54" s="82"/>
      <c r="FG54" s="82"/>
      <c r="FH54" s="82"/>
      <c r="FI54" s="82"/>
      <c r="FJ54" s="82"/>
      <c r="FK54" s="82"/>
      <c r="FL54" s="82"/>
      <c r="FM54" s="82"/>
      <c r="FN54" s="82"/>
      <c r="FO54" s="82"/>
      <c r="FP54" s="82"/>
      <c r="FQ54" s="82"/>
      <c r="FR54" s="82"/>
      <c r="FS54" s="82"/>
      <c r="FT54" s="82"/>
      <c r="FU54" s="82"/>
      <c r="FV54" s="82"/>
      <c r="FW54" s="82"/>
      <c r="FX54" s="82"/>
    </row>
    <row r="55" spans="1:180" ht="15.75" customHeight="1" x14ac:dyDescent="0.25">
      <c r="A55" s="3" t="s">
        <v>229</v>
      </c>
      <c r="B55" s="36"/>
      <c r="C55" s="43" t="s">
        <v>258</v>
      </c>
      <c r="D55" s="44">
        <f t="shared" si="0"/>
        <v>0</v>
      </c>
      <c r="E55" s="45"/>
      <c r="F55" s="45"/>
      <c r="G55" s="45"/>
      <c r="H55" s="45"/>
      <c r="I55" s="45"/>
      <c r="J55" s="45"/>
      <c r="K55" s="5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</row>
    <row r="56" spans="1:180" ht="15.75" customHeight="1" x14ac:dyDescent="0.25">
      <c r="A56" s="3" t="s">
        <v>230</v>
      </c>
      <c r="B56" s="2"/>
      <c r="C56" s="43" t="s">
        <v>259</v>
      </c>
      <c r="D56" s="44">
        <f t="shared" si="0"/>
        <v>0</v>
      </c>
      <c r="E56" s="81">
        <f>E54-E55</f>
        <v>0</v>
      </c>
      <c r="F56" s="81">
        <f t="shared" ref="F56:BQ56" si="16">F54-F55</f>
        <v>0</v>
      </c>
      <c r="G56" s="81">
        <f t="shared" si="16"/>
        <v>0</v>
      </c>
      <c r="H56" s="81">
        <f t="shared" si="16"/>
        <v>0</v>
      </c>
      <c r="I56" s="81">
        <f t="shared" si="16"/>
        <v>0</v>
      </c>
      <c r="J56" s="81">
        <f t="shared" si="16"/>
        <v>0</v>
      </c>
      <c r="K56" s="81">
        <f t="shared" si="16"/>
        <v>0</v>
      </c>
      <c r="L56" s="81">
        <f t="shared" si="16"/>
        <v>0</v>
      </c>
      <c r="M56" s="81">
        <f t="shared" si="16"/>
        <v>0</v>
      </c>
      <c r="N56" s="81">
        <f t="shared" si="16"/>
        <v>0</v>
      </c>
      <c r="O56" s="81">
        <f t="shared" si="16"/>
        <v>0</v>
      </c>
      <c r="P56" s="81">
        <f t="shared" si="16"/>
        <v>0</v>
      </c>
      <c r="Q56" s="81">
        <f t="shared" si="16"/>
        <v>0</v>
      </c>
      <c r="R56" s="81">
        <f t="shared" si="16"/>
        <v>0</v>
      </c>
      <c r="S56" s="81">
        <f t="shared" si="16"/>
        <v>0</v>
      </c>
      <c r="T56" s="81">
        <f t="shared" si="16"/>
        <v>0</v>
      </c>
      <c r="U56" s="81">
        <f t="shared" si="16"/>
        <v>0</v>
      </c>
      <c r="V56" s="81">
        <f t="shared" si="16"/>
        <v>0</v>
      </c>
      <c r="W56" s="81">
        <f t="shared" si="16"/>
        <v>0</v>
      </c>
      <c r="X56" s="81">
        <f t="shared" si="16"/>
        <v>0</v>
      </c>
      <c r="Y56" s="81">
        <f t="shared" si="16"/>
        <v>0</v>
      </c>
      <c r="Z56" s="81">
        <f t="shared" si="16"/>
        <v>0</v>
      </c>
      <c r="AA56" s="81">
        <f t="shared" si="16"/>
        <v>0</v>
      </c>
      <c r="AB56" s="81">
        <f t="shared" si="16"/>
        <v>0</v>
      </c>
      <c r="AC56" s="81">
        <f t="shared" si="16"/>
        <v>0</v>
      </c>
      <c r="AD56" s="81">
        <f t="shared" si="16"/>
        <v>0</v>
      </c>
      <c r="AE56" s="81">
        <f t="shared" si="16"/>
        <v>0</v>
      </c>
      <c r="AF56" s="81">
        <f t="shared" si="16"/>
        <v>0</v>
      </c>
      <c r="AG56" s="81">
        <f t="shared" si="16"/>
        <v>0</v>
      </c>
      <c r="AH56" s="81">
        <f t="shared" si="16"/>
        <v>0</v>
      </c>
      <c r="AI56" s="81">
        <f t="shared" si="16"/>
        <v>0</v>
      </c>
      <c r="AJ56" s="81">
        <f t="shared" si="16"/>
        <v>0</v>
      </c>
      <c r="AK56" s="81">
        <f t="shared" si="16"/>
        <v>0</v>
      </c>
      <c r="AL56" s="81">
        <f t="shared" si="16"/>
        <v>0</v>
      </c>
      <c r="AM56" s="81">
        <f t="shared" si="16"/>
        <v>0</v>
      </c>
      <c r="AN56" s="81">
        <f t="shared" si="16"/>
        <v>0</v>
      </c>
      <c r="AO56" s="81">
        <f t="shared" si="16"/>
        <v>0</v>
      </c>
      <c r="AP56" s="81">
        <f t="shared" si="16"/>
        <v>0</v>
      </c>
      <c r="AQ56" s="81">
        <f t="shared" si="16"/>
        <v>0</v>
      </c>
      <c r="AR56" s="81">
        <f t="shared" si="16"/>
        <v>0</v>
      </c>
      <c r="AS56" s="81">
        <f t="shared" si="16"/>
        <v>0</v>
      </c>
      <c r="AT56" s="81">
        <f t="shared" si="16"/>
        <v>0</v>
      </c>
      <c r="AU56" s="81">
        <f t="shared" si="16"/>
        <v>0</v>
      </c>
      <c r="AV56" s="81">
        <f t="shared" si="16"/>
        <v>0</v>
      </c>
      <c r="AW56" s="81">
        <f t="shared" si="16"/>
        <v>0</v>
      </c>
      <c r="AX56" s="81">
        <f t="shared" si="16"/>
        <v>0</v>
      </c>
      <c r="AY56" s="81">
        <f t="shared" si="16"/>
        <v>0</v>
      </c>
      <c r="AZ56" s="81">
        <f t="shared" si="16"/>
        <v>0</v>
      </c>
      <c r="BA56" s="81">
        <f t="shared" si="16"/>
        <v>0</v>
      </c>
      <c r="BB56" s="81">
        <f t="shared" si="16"/>
        <v>0</v>
      </c>
      <c r="BC56" s="81">
        <f t="shared" si="16"/>
        <v>0</v>
      </c>
      <c r="BD56" s="81">
        <f t="shared" si="16"/>
        <v>0</v>
      </c>
      <c r="BE56" s="81">
        <f t="shared" si="16"/>
        <v>0</v>
      </c>
      <c r="BF56" s="81">
        <f t="shared" si="16"/>
        <v>0</v>
      </c>
      <c r="BG56" s="81">
        <f t="shared" si="16"/>
        <v>0</v>
      </c>
      <c r="BH56" s="81">
        <f t="shared" si="16"/>
        <v>0</v>
      </c>
      <c r="BI56" s="81">
        <f t="shared" si="16"/>
        <v>0</v>
      </c>
      <c r="BJ56" s="81">
        <f t="shared" si="16"/>
        <v>0</v>
      </c>
      <c r="BK56" s="81">
        <f t="shared" si="16"/>
        <v>0</v>
      </c>
      <c r="BL56" s="81">
        <f t="shared" si="16"/>
        <v>0</v>
      </c>
      <c r="BM56" s="81">
        <f t="shared" si="16"/>
        <v>0</v>
      </c>
      <c r="BN56" s="81">
        <f t="shared" si="16"/>
        <v>0</v>
      </c>
      <c r="BO56" s="81">
        <f t="shared" si="16"/>
        <v>0</v>
      </c>
      <c r="BP56" s="81">
        <f t="shared" si="16"/>
        <v>0</v>
      </c>
      <c r="BQ56" s="81">
        <f t="shared" si="16"/>
        <v>0</v>
      </c>
      <c r="BR56" s="81">
        <f t="shared" ref="BR56:EC56" si="17">BR54-BR55</f>
        <v>0</v>
      </c>
      <c r="BS56" s="81">
        <f t="shared" si="17"/>
        <v>0</v>
      </c>
      <c r="BT56" s="81">
        <f t="shared" si="17"/>
        <v>0</v>
      </c>
      <c r="BU56" s="81">
        <f t="shared" si="17"/>
        <v>0</v>
      </c>
      <c r="BV56" s="81">
        <f t="shared" si="17"/>
        <v>0</v>
      </c>
      <c r="BW56" s="81">
        <f t="shared" si="17"/>
        <v>0</v>
      </c>
      <c r="BX56" s="81">
        <f t="shared" si="17"/>
        <v>0</v>
      </c>
      <c r="BY56" s="81">
        <f t="shared" si="17"/>
        <v>0</v>
      </c>
      <c r="BZ56" s="81">
        <f t="shared" si="17"/>
        <v>0</v>
      </c>
      <c r="CA56" s="81">
        <f t="shared" si="17"/>
        <v>0</v>
      </c>
      <c r="CB56" s="81">
        <f t="shared" si="17"/>
        <v>0</v>
      </c>
      <c r="CC56" s="81">
        <f t="shared" si="17"/>
        <v>0</v>
      </c>
      <c r="CD56" s="81">
        <f t="shared" si="17"/>
        <v>0</v>
      </c>
      <c r="CE56" s="81">
        <f t="shared" si="17"/>
        <v>0</v>
      </c>
      <c r="CF56" s="81">
        <f t="shared" si="17"/>
        <v>0</v>
      </c>
      <c r="CG56" s="81">
        <f t="shared" si="17"/>
        <v>0</v>
      </c>
      <c r="CH56" s="81">
        <f t="shared" si="17"/>
        <v>0</v>
      </c>
      <c r="CI56" s="81">
        <f t="shared" si="17"/>
        <v>0</v>
      </c>
      <c r="CJ56" s="81">
        <f t="shared" si="17"/>
        <v>0</v>
      </c>
      <c r="CK56" s="81">
        <f t="shared" si="17"/>
        <v>0</v>
      </c>
      <c r="CL56" s="81">
        <f t="shared" si="17"/>
        <v>0</v>
      </c>
      <c r="CM56" s="81">
        <f t="shared" si="17"/>
        <v>0</v>
      </c>
      <c r="CN56" s="81">
        <f t="shared" si="17"/>
        <v>0</v>
      </c>
      <c r="CO56" s="81">
        <f t="shared" si="17"/>
        <v>0</v>
      </c>
      <c r="CP56" s="81">
        <f t="shared" si="17"/>
        <v>0</v>
      </c>
      <c r="CQ56" s="81">
        <f t="shared" si="17"/>
        <v>0</v>
      </c>
      <c r="CR56" s="81">
        <f t="shared" si="17"/>
        <v>0</v>
      </c>
      <c r="CS56" s="81">
        <f t="shared" si="17"/>
        <v>0</v>
      </c>
      <c r="CT56" s="81">
        <f t="shared" si="17"/>
        <v>0</v>
      </c>
      <c r="CU56" s="81">
        <f t="shared" si="17"/>
        <v>0</v>
      </c>
      <c r="CV56" s="81">
        <f t="shared" si="17"/>
        <v>0</v>
      </c>
      <c r="CW56" s="81">
        <f t="shared" si="17"/>
        <v>0</v>
      </c>
      <c r="CX56" s="81">
        <f t="shared" si="17"/>
        <v>0</v>
      </c>
      <c r="CY56" s="81">
        <f t="shared" si="17"/>
        <v>0</v>
      </c>
      <c r="CZ56" s="81">
        <f t="shared" si="17"/>
        <v>0</v>
      </c>
      <c r="DA56" s="81">
        <f t="shared" si="17"/>
        <v>0</v>
      </c>
      <c r="DB56" s="81">
        <f t="shared" si="17"/>
        <v>0</v>
      </c>
      <c r="DC56" s="81">
        <f t="shared" si="17"/>
        <v>0</v>
      </c>
      <c r="DD56" s="81">
        <f t="shared" si="17"/>
        <v>0</v>
      </c>
      <c r="DE56" s="81">
        <f t="shared" si="17"/>
        <v>0</v>
      </c>
      <c r="DF56" s="81">
        <f t="shared" si="17"/>
        <v>0</v>
      </c>
      <c r="DG56" s="81">
        <f t="shared" si="17"/>
        <v>0</v>
      </c>
      <c r="DH56" s="81">
        <f t="shared" si="17"/>
        <v>0</v>
      </c>
      <c r="DI56" s="81">
        <f t="shared" si="17"/>
        <v>0</v>
      </c>
      <c r="DJ56" s="81">
        <f t="shared" si="17"/>
        <v>0</v>
      </c>
      <c r="DK56" s="81">
        <f t="shared" si="17"/>
        <v>0</v>
      </c>
      <c r="DL56" s="81">
        <f t="shared" si="17"/>
        <v>0</v>
      </c>
      <c r="DM56" s="81">
        <f t="shared" si="17"/>
        <v>0</v>
      </c>
      <c r="DN56" s="81">
        <f t="shared" si="17"/>
        <v>0</v>
      </c>
      <c r="DO56" s="81">
        <f t="shared" si="17"/>
        <v>0</v>
      </c>
      <c r="DP56" s="81">
        <f t="shared" si="17"/>
        <v>0</v>
      </c>
      <c r="DQ56" s="81">
        <f t="shared" si="17"/>
        <v>0</v>
      </c>
      <c r="DR56" s="81">
        <f t="shared" si="17"/>
        <v>0</v>
      </c>
      <c r="DS56" s="81">
        <f t="shared" si="17"/>
        <v>0</v>
      </c>
      <c r="DT56" s="81">
        <f t="shared" si="17"/>
        <v>0</v>
      </c>
      <c r="DU56" s="81">
        <f t="shared" si="17"/>
        <v>0</v>
      </c>
      <c r="DV56" s="81">
        <f t="shared" si="17"/>
        <v>0</v>
      </c>
      <c r="DW56" s="81">
        <f t="shared" si="17"/>
        <v>0</v>
      </c>
      <c r="DX56" s="81">
        <f t="shared" si="17"/>
        <v>0</v>
      </c>
      <c r="DY56" s="81">
        <f t="shared" si="17"/>
        <v>0</v>
      </c>
      <c r="DZ56" s="81">
        <f t="shared" si="17"/>
        <v>0</v>
      </c>
      <c r="EA56" s="81">
        <f t="shared" si="17"/>
        <v>0</v>
      </c>
      <c r="EB56" s="81">
        <f t="shared" si="17"/>
        <v>0</v>
      </c>
      <c r="EC56" s="81">
        <f t="shared" si="17"/>
        <v>0</v>
      </c>
      <c r="ED56" s="81">
        <f t="shared" ref="ED56:FX56" si="18">ED54-ED55</f>
        <v>0</v>
      </c>
      <c r="EE56" s="81">
        <f t="shared" si="18"/>
        <v>0</v>
      </c>
      <c r="EF56" s="81">
        <f t="shared" si="18"/>
        <v>0</v>
      </c>
      <c r="EG56" s="81">
        <f t="shared" si="18"/>
        <v>0</v>
      </c>
      <c r="EH56" s="81">
        <f t="shared" si="18"/>
        <v>0</v>
      </c>
      <c r="EI56" s="81">
        <f t="shared" si="18"/>
        <v>0</v>
      </c>
      <c r="EJ56" s="81">
        <f t="shared" si="18"/>
        <v>0</v>
      </c>
      <c r="EK56" s="81">
        <f t="shared" si="18"/>
        <v>0</v>
      </c>
      <c r="EL56" s="81">
        <f t="shared" si="18"/>
        <v>0</v>
      </c>
      <c r="EM56" s="81">
        <f t="shared" si="18"/>
        <v>0</v>
      </c>
      <c r="EN56" s="81">
        <f t="shared" si="18"/>
        <v>0</v>
      </c>
      <c r="EO56" s="81">
        <f t="shared" si="18"/>
        <v>0</v>
      </c>
      <c r="EP56" s="81">
        <f t="shared" si="18"/>
        <v>0</v>
      </c>
      <c r="EQ56" s="81">
        <f t="shared" si="18"/>
        <v>0</v>
      </c>
      <c r="ER56" s="81">
        <f t="shared" si="18"/>
        <v>0</v>
      </c>
      <c r="ES56" s="81">
        <f t="shared" si="18"/>
        <v>0</v>
      </c>
      <c r="ET56" s="81">
        <f t="shared" si="18"/>
        <v>0</v>
      </c>
      <c r="EU56" s="81">
        <f t="shared" si="18"/>
        <v>0</v>
      </c>
      <c r="EV56" s="81">
        <f t="shared" si="18"/>
        <v>0</v>
      </c>
      <c r="EW56" s="81">
        <f t="shared" si="18"/>
        <v>0</v>
      </c>
      <c r="EX56" s="81">
        <f t="shared" si="18"/>
        <v>0</v>
      </c>
      <c r="EY56" s="81">
        <f t="shared" si="18"/>
        <v>0</v>
      </c>
      <c r="EZ56" s="81">
        <f t="shared" si="18"/>
        <v>0</v>
      </c>
      <c r="FA56" s="81">
        <f t="shared" si="18"/>
        <v>0</v>
      </c>
      <c r="FB56" s="81">
        <f t="shared" si="18"/>
        <v>0</v>
      </c>
      <c r="FC56" s="81">
        <f t="shared" si="18"/>
        <v>0</v>
      </c>
      <c r="FD56" s="81">
        <f t="shared" si="18"/>
        <v>0</v>
      </c>
      <c r="FE56" s="81">
        <f t="shared" si="18"/>
        <v>0</v>
      </c>
      <c r="FF56" s="81">
        <f t="shared" si="18"/>
        <v>0</v>
      </c>
      <c r="FG56" s="81">
        <f t="shared" si="18"/>
        <v>0</v>
      </c>
      <c r="FH56" s="81">
        <f t="shared" si="18"/>
        <v>0</v>
      </c>
      <c r="FI56" s="81">
        <f t="shared" si="18"/>
        <v>0</v>
      </c>
      <c r="FJ56" s="81">
        <f t="shared" si="18"/>
        <v>0</v>
      </c>
      <c r="FK56" s="81">
        <f t="shared" si="18"/>
        <v>0</v>
      </c>
      <c r="FL56" s="81">
        <f t="shared" si="18"/>
        <v>0</v>
      </c>
      <c r="FM56" s="81">
        <f t="shared" si="18"/>
        <v>0</v>
      </c>
      <c r="FN56" s="81">
        <f t="shared" si="18"/>
        <v>0</v>
      </c>
      <c r="FO56" s="81">
        <f t="shared" si="18"/>
        <v>0</v>
      </c>
      <c r="FP56" s="81">
        <f t="shared" si="18"/>
        <v>0</v>
      </c>
      <c r="FQ56" s="81">
        <f t="shared" si="18"/>
        <v>0</v>
      </c>
      <c r="FR56" s="81">
        <f t="shared" si="18"/>
        <v>0</v>
      </c>
      <c r="FS56" s="81">
        <f t="shared" si="18"/>
        <v>0</v>
      </c>
      <c r="FT56" s="81">
        <f t="shared" si="18"/>
        <v>0</v>
      </c>
      <c r="FU56" s="81">
        <f t="shared" si="18"/>
        <v>0</v>
      </c>
      <c r="FV56" s="81">
        <f t="shared" si="18"/>
        <v>0</v>
      </c>
      <c r="FW56" s="81">
        <f t="shared" si="18"/>
        <v>0</v>
      </c>
      <c r="FX56" s="81">
        <f t="shared" si="18"/>
        <v>0</v>
      </c>
    </row>
    <row r="57" spans="1:180" ht="32.25" customHeight="1" x14ac:dyDescent="0.25">
      <c r="A57" s="3" t="s">
        <v>231</v>
      </c>
      <c r="B57" s="2">
        <v>12</v>
      </c>
      <c r="C57" s="40" t="s">
        <v>260</v>
      </c>
      <c r="D57" s="44">
        <f t="shared" si="0"/>
        <v>0</v>
      </c>
      <c r="E57" s="58"/>
      <c r="F57" s="62"/>
      <c r="G57" s="62"/>
      <c r="H57" s="62"/>
      <c r="I57" s="62"/>
      <c r="J57" s="62"/>
      <c r="K57" s="63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46"/>
      <c r="FQ57" s="46"/>
      <c r="FR57" s="46"/>
      <c r="FS57" s="46"/>
      <c r="FT57" s="46"/>
      <c r="FU57" s="46"/>
      <c r="FV57" s="46"/>
      <c r="FW57" s="46"/>
      <c r="FX57" s="46"/>
    </row>
    <row r="58" spans="1:180" ht="15.75" customHeight="1" x14ac:dyDescent="0.25">
      <c r="A58" s="4" t="s">
        <v>232</v>
      </c>
      <c r="B58" s="2">
        <v>13</v>
      </c>
      <c r="C58" s="40" t="s">
        <v>274</v>
      </c>
      <c r="D58" s="44">
        <f t="shared" si="0"/>
        <v>0</v>
      </c>
      <c r="E58" s="65"/>
      <c r="F58" s="66"/>
      <c r="G58" s="66"/>
      <c r="H58" s="66"/>
      <c r="I58" s="66"/>
      <c r="J58" s="66"/>
      <c r="K58" s="67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9"/>
      <c r="FR58" s="69"/>
      <c r="FS58" s="69"/>
      <c r="FT58" s="69"/>
      <c r="FU58" s="69"/>
      <c r="FV58" s="69"/>
      <c r="FW58" s="69"/>
      <c r="FX58" s="69"/>
    </row>
    <row r="59" spans="1:180" ht="15.75" customHeight="1" x14ac:dyDescent="0.25">
      <c r="A59" s="5" t="s">
        <v>233</v>
      </c>
      <c r="B59" s="38" t="s">
        <v>309</v>
      </c>
      <c r="C59" s="42" t="s">
        <v>240</v>
      </c>
      <c r="D59" s="35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</row>
    <row r="60" spans="1:180" ht="15.75" customHeight="1" x14ac:dyDescent="0.25">
      <c r="A60" s="3" t="s">
        <v>234</v>
      </c>
      <c r="B60" s="2">
        <v>1</v>
      </c>
      <c r="C60" s="40" t="s">
        <v>241</v>
      </c>
      <c r="D60" s="44">
        <f t="shared" si="0"/>
        <v>0</v>
      </c>
      <c r="E60" s="45"/>
      <c r="F60" s="46"/>
      <c r="G60" s="46"/>
      <c r="H60" s="46"/>
      <c r="I60" s="46"/>
      <c r="J60" s="46"/>
      <c r="K60" s="47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</row>
    <row r="61" spans="1:180" ht="15.75" customHeight="1" x14ac:dyDescent="0.25">
      <c r="A61" s="3" t="s">
        <v>235</v>
      </c>
      <c r="B61" s="2">
        <v>2</v>
      </c>
      <c r="C61" s="40" t="s">
        <v>280</v>
      </c>
      <c r="D61" s="44">
        <f t="shared" si="0"/>
        <v>0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8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</row>
    <row r="62" spans="1:180" ht="15.75" customHeight="1" x14ac:dyDescent="0.25">
      <c r="A62" s="3" t="s">
        <v>236</v>
      </c>
      <c r="B62" s="36"/>
      <c r="C62" s="43" t="s">
        <v>281</v>
      </c>
      <c r="D62" s="44">
        <f t="shared" si="0"/>
        <v>0</v>
      </c>
      <c r="E62" s="45"/>
      <c r="F62" s="46"/>
      <c r="G62" s="46"/>
      <c r="H62" s="46"/>
      <c r="I62" s="46"/>
      <c r="J62" s="46"/>
      <c r="K62" s="47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</row>
    <row r="63" spans="1:180" ht="15.75" customHeight="1" x14ac:dyDescent="0.25">
      <c r="A63" s="3" t="s">
        <v>237</v>
      </c>
      <c r="B63" s="2">
        <v>3</v>
      </c>
      <c r="C63" s="40" t="s">
        <v>313</v>
      </c>
      <c r="D63" s="44">
        <f t="shared" si="0"/>
        <v>0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8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</row>
    <row r="64" spans="1:180" ht="15.75" customHeight="1" x14ac:dyDescent="0.25">
      <c r="A64" s="3" t="s">
        <v>238</v>
      </c>
      <c r="B64" s="36"/>
      <c r="C64" s="43" t="s">
        <v>282</v>
      </c>
      <c r="D64" s="44">
        <f t="shared" si="0"/>
        <v>0</v>
      </c>
      <c r="E64" s="45"/>
      <c r="F64" s="46"/>
      <c r="G64" s="46"/>
      <c r="H64" s="46"/>
      <c r="I64" s="46"/>
      <c r="J64" s="46"/>
      <c r="K64" s="49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</row>
    <row r="65" spans="1:180" ht="15.75" customHeight="1" x14ac:dyDescent="0.25">
      <c r="A65" s="3" t="s">
        <v>290</v>
      </c>
      <c r="B65" s="2">
        <v>4</v>
      </c>
      <c r="C65" s="40" t="s">
        <v>314</v>
      </c>
      <c r="D65" s="44">
        <f t="shared" si="0"/>
        <v>0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8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</row>
    <row r="66" spans="1:180" ht="15.75" customHeight="1" x14ac:dyDescent="0.25">
      <c r="A66" s="3" t="s">
        <v>239</v>
      </c>
      <c r="B66" s="36"/>
      <c r="C66" s="43" t="s">
        <v>283</v>
      </c>
      <c r="D66" s="44">
        <f t="shared" si="0"/>
        <v>0</v>
      </c>
      <c r="E66" s="45"/>
      <c r="F66" s="46"/>
      <c r="G66" s="46"/>
      <c r="H66" s="46"/>
      <c r="I66" s="46"/>
      <c r="J66" s="46"/>
      <c r="K66" s="49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</row>
    <row r="67" spans="1:180" ht="15.75" customHeight="1" x14ac:dyDescent="0.25">
      <c r="A67" s="3" t="s">
        <v>297</v>
      </c>
      <c r="B67" s="2">
        <v>5</v>
      </c>
      <c r="C67" s="40" t="s">
        <v>312</v>
      </c>
      <c r="D67" s="44">
        <f t="shared" si="0"/>
        <v>0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</row>
    <row r="68" spans="1:180" ht="15.75" customHeight="1" x14ac:dyDescent="0.25">
      <c r="A68" s="3" t="s">
        <v>298</v>
      </c>
      <c r="B68" s="36"/>
      <c r="C68" s="43" t="s">
        <v>284</v>
      </c>
      <c r="D68" s="44">
        <f t="shared" si="0"/>
        <v>0</v>
      </c>
      <c r="E68" s="45"/>
      <c r="F68" s="46"/>
      <c r="G68" s="46"/>
      <c r="H68" s="46"/>
      <c r="I68" s="46"/>
      <c r="J68" s="46"/>
      <c r="K68" s="49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46"/>
      <c r="EQ68" s="46"/>
      <c r="ER68" s="46"/>
      <c r="ES68" s="46"/>
      <c r="ET68" s="46"/>
      <c r="EU68" s="46"/>
      <c r="EV68" s="46"/>
      <c r="EW68" s="46"/>
      <c r="EX68" s="46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</row>
    <row r="69" spans="1:180" ht="15.75" customHeight="1" x14ac:dyDescent="0.25">
      <c r="A69" s="3" t="s">
        <v>299</v>
      </c>
      <c r="B69" s="2">
        <v>6</v>
      </c>
      <c r="C69" s="40" t="s">
        <v>285</v>
      </c>
      <c r="D69" s="44">
        <f t="shared" si="0"/>
        <v>0</v>
      </c>
      <c r="E69" s="45"/>
      <c r="F69" s="46"/>
      <c r="G69" s="46"/>
      <c r="H69" s="46"/>
      <c r="I69" s="46"/>
      <c r="J69" s="46"/>
      <c r="K69" s="49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46"/>
      <c r="EB69" s="46"/>
      <c r="EC69" s="46"/>
      <c r="ED69" s="46"/>
      <c r="EE69" s="46"/>
      <c r="EF69" s="46"/>
      <c r="EG69" s="46"/>
      <c r="EH69" s="46"/>
      <c r="EI69" s="46"/>
      <c r="EJ69" s="46"/>
      <c r="EK69" s="46"/>
      <c r="EL69" s="46"/>
      <c r="EM69" s="46"/>
      <c r="EN69" s="46"/>
      <c r="EO69" s="46"/>
      <c r="EP69" s="46"/>
      <c r="EQ69" s="46"/>
      <c r="ER69" s="46"/>
      <c r="ES69" s="46"/>
      <c r="ET69" s="46"/>
      <c r="EU69" s="46"/>
      <c r="EV69" s="46"/>
      <c r="EW69" s="46"/>
      <c r="EX69" s="46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</row>
    <row r="70" spans="1:180" ht="15.75" customHeight="1" x14ac:dyDescent="0.25">
      <c r="A70" s="3" t="s">
        <v>300</v>
      </c>
      <c r="B70" s="2">
        <v>7</v>
      </c>
      <c r="C70" s="40" t="s">
        <v>286</v>
      </c>
      <c r="D70" s="44">
        <f t="shared" si="0"/>
        <v>0</v>
      </c>
      <c r="E70" s="45"/>
      <c r="F70" s="46"/>
      <c r="G70" s="46"/>
      <c r="H70" s="46"/>
      <c r="I70" s="46"/>
      <c r="J70" s="46"/>
      <c r="K70" s="49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46"/>
      <c r="EB70" s="46"/>
      <c r="EC70" s="46"/>
      <c r="ED70" s="46"/>
      <c r="EE70" s="46"/>
      <c r="EF70" s="46"/>
      <c r="EG70" s="46"/>
      <c r="EH70" s="46"/>
      <c r="EI70" s="46"/>
      <c r="EJ70" s="46"/>
      <c r="EK70" s="46"/>
      <c r="EL70" s="46"/>
      <c r="EM70" s="46"/>
      <c r="EN70" s="46"/>
      <c r="EO70" s="46"/>
      <c r="EP70" s="46"/>
      <c r="EQ70" s="46"/>
      <c r="ER70" s="46"/>
      <c r="ES70" s="46"/>
      <c r="ET70" s="46"/>
      <c r="EU70" s="46"/>
      <c r="EV70" s="46"/>
      <c r="EW70" s="46"/>
      <c r="EX70" s="46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</row>
    <row r="71" spans="1:180" ht="15.75" customHeight="1" x14ac:dyDescent="0.25">
      <c r="A71" s="3" t="s">
        <v>301</v>
      </c>
      <c r="B71" s="2">
        <v>8</v>
      </c>
      <c r="C71" s="40" t="s">
        <v>287</v>
      </c>
      <c r="D71" s="44">
        <f t="shared" si="0"/>
        <v>0</v>
      </c>
      <c r="E71" s="45"/>
      <c r="F71" s="46"/>
      <c r="G71" s="46"/>
      <c r="H71" s="46"/>
      <c r="I71" s="46"/>
      <c r="J71" s="46"/>
      <c r="K71" s="49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6"/>
      <c r="DN71" s="46"/>
      <c r="DO71" s="46"/>
      <c r="DP71" s="46"/>
      <c r="DQ71" s="46"/>
      <c r="DR71" s="46"/>
      <c r="DS71" s="46"/>
      <c r="DT71" s="46"/>
      <c r="DU71" s="46"/>
      <c r="DV71" s="46"/>
      <c r="DW71" s="46"/>
      <c r="DX71" s="46"/>
      <c r="DY71" s="46"/>
      <c r="DZ71" s="46"/>
      <c r="EA71" s="46"/>
      <c r="EB71" s="46"/>
      <c r="EC71" s="46"/>
      <c r="ED71" s="46"/>
      <c r="EE71" s="46"/>
      <c r="EF71" s="46"/>
      <c r="EG71" s="46"/>
      <c r="EH71" s="46"/>
      <c r="EI71" s="46"/>
      <c r="EJ71" s="46"/>
      <c r="EK71" s="46"/>
      <c r="EL71" s="46"/>
      <c r="EM71" s="46"/>
      <c r="EN71" s="46"/>
      <c r="EO71" s="46"/>
      <c r="EP71" s="46"/>
      <c r="EQ71" s="46"/>
      <c r="ER71" s="46"/>
      <c r="ES71" s="46"/>
      <c r="ET71" s="46"/>
      <c r="EU71" s="46"/>
      <c r="EV71" s="46"/>
      <c r="EW71" s="46"/>
      <c r="EX71" s="46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</row>
    <row r="72" spans="1:180" ht="15.75" customHeight="1" x14ac:dyDescent="0.25">
      <c r="A72" s="3" t="s">
        <v>302</v>
      </c>
      <c r="B72" s="2">
        <v>9</v>
      </c>
      <c r="C72" s="40" t="s">
        <v>288</v>
      </c>
      <c r="D72" s="44">
        <f t="shared" si="0"/>
        <v>0</v>
      </c>
      <c r="E72" s="45"/>
      <c r="F72" s="46"/>
      <c r="G72" s="46"/>
      <c r="H72" s="46"/>
      <c r="I72" s="46"/>
      <c r="J72" s="46"/>
      <c r="K72" s="49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46"/>
      <c r="EB72" s="46"/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  <c r="EN72" s="46"/>
      <c r="EO72" s="46"/>
      <c r="EP72" s="46"/>
      <c r="EQ72" s="46"/>
      <c r="ER72" s="46"/>
      <c r="ES72" s="46"/>
      <c r="ET72" s="46"/>
      <c r="EU72" s="46"/>
      <c r="EV72" s="46"/>
      <c r="EW72" s="46"/>
      <c r="EX72" s="46"/>
      <c r="EY72" s="46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</row>
    <row r="73" spans="1:180" ht="15.75" customHeight="1" x14ac:dyDescent="0.25">
      <c r="A73" s="3" t="s">
        <v>303</v>
      </c>
      <c r="B73" s="2">
        <v>10</v>
      </c>
      <c r="C73" s="40" t="s">
        <v>289</v>
      </c>
      <c r="D73" s="44">
        <f t="shared" si="0"/>
        <v>0</v>
      </c>
      <c r="E73" s="45"/>
      <c r="F73" s="46"/>
      <c r="G73" s="46"/>
      <c r="H73" s="46"/>
      <c r="I73" s="46"/>
      <c r="J73" s="46"/>
      <c r="K73" s="49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6"/>
      <c r="DN73" s="46"/>
      <c r="DO73" s="46"/>
      <c r="DP73" s="46"/>
      <c r="DQ73" s="46"/>
      <c r="DR73" s="46"/>
      <c r="DS73" s="46"/>
      <c r="DT73" s="46"/>
      <c r="DU73" s="46"/>
      <c r="DV73" s="46"/>
      <c r="DW73" s="46"/>
      <c r="DX73" s="46"/>
      <c r="DY73" s="46"/>
      <c r="DZ73" s="46"/>
      <c r="EA73" s="46"/>
      <c r="EB73" s="46"/>
      <c r="EC73" s="46"/>
      <c r="ED73" s="46"/>
      <c r="EE73" s="46"/>
      <c r="EF73" s="46"/>
      <c r="EG73" s="46"/>
      <c r="EH73" s="46"/>
      <c r="EI73" s="46"/>
      <c r="EJ73" s="46"/>
      <c r="EK73" s="46"/>
      <c r="EL73" s="46"/>
      <c r="EM73" s="46"/>
      <c r="EN73" s="46"/>
      <c r="EO73" s="46"/>
      <c r="EP73" s="46"/>
      <c r="EQ73" s="46"/>
      <c r="ER73" s="46"/>
      <c r="ES73" s="46"/>
      <c r="ET73" s="46"/>
      <c r="EU73" s="46"/>
      <c r="EV73" s="46"/>
      <c r="EW73" s="46"/>
      <c r="EX73" s="46"/>
      <c r="EY73" s="46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</row>
    <row r="74" spans="1:180" ht="15.75" customHeight="1" x14ac:dyDescent="0.25">
      <c r="A74" s="3" t="s">
        <v>304</v>
      </c>
      <c r="B74" s="2">
        <v>11</v>
      </c>
      <c r="C74" s="40" t="s">
        <v>242</v>
      </c>
      <c r="D74" s="44">
        <f t="shared" si="0"/>
        <v>0</v>
      </c>
      <c r="E74" s="45"/>
      <c r="F74" s="46"/>
      <c r="G74" s="46"/>
      <c r="H74" s="46"/>
      <c r="I74" s="46"/>
      <c r="J74" s="46"/>
      <c r="K74" s="49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46"/>
      <c r="EB74" s="46"/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  <c r="EN74" s="46"/>
      <c r="EO74" s="46"/>
      <c r="EP74" s="46"/>
      <c r="EQ74" s="46"/>
      <c r="ER74" s="46"/>
      <c r="ES74" s="46"/>
      <c r="ET74" s="46"/>
      <c r="EU74" s="46"/>
      <c r="EV74" s="46"/>
      <c r="EW74" s="46"/>
      <c r="EX74" s="46"/>
      <c r="EY74" s="46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</row>
    <row r="75" spans="1:180" ht="15.75" customHeight="1" x14ac:dyDescent="0.25">
      <c r="A75" s="3" t="s">
        <v>305</v>
      </c>
      <c r="B75" s="2">
        <v>12</v>
      </c>
      <c r="C75" s="40" t="s">
        <v>295</v>
      </c>
      <c r="D75" s="44">
        <f t="shared" ref="D75" si="19">SUM(E75:FX75)</f>
        <v>0</v>
      </c>
      <c r="E75" s="45"/>
      <c r="F75" s="46"/>
      <c r="G75" s="46"/>
      <c r="H75" s="46"/>
      <c r="I75" s="46"/>
      <c r="J75" s="46"/>
      <c r="K75" s="49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</row>
    <row r="76" spans="1:180" ht="31.5" customHeight="1" x14ac:dyDescent="0.25">
      <c r="A76" s="3" t="s">
        <v>306</v>
      </c>
      <c r="B76" s="2">
        <v>13</v>
      </c>
      <c r="C76" s="40" t="s">
        <v>296</v>
      </c>
      <c r="D76" s="44">
        <f t="shared" si="0"/>
        <v>0</v>
      </c>
      <c r="E76" s="45"/>
      <c r="F76" s="46"/>
      <c r="G76" s="46"/>
      <c r="H76" s="46"/>
      <c r="I76" s="46"/>
      <c r="J76" s="46"/>
      <c r="K76" s="49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46"/>
      <c r="EB76" s="46"/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  <c r="EN76" s="46"/>
      <c r="EO76" s="46"/>
      <c r="EP76" s="46"/>
      <c r="EQ76" s="46"/>
      <c r="ER76" s="46"/>
      <c r="ES76" s="46"/>
      <c r="ET76" s="46"/>
      <c r="EU76" s="46"/>
      <c r="EV76" s="46"/>
      <c r="EW76" s="46"/>
      <c r="EX76" s="46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</row>
    <row r="77" spans="1:180" ht="15.75" customHeight="1" x14ac:dyDescent="0.25">
      <c r="B77" s="37"/>
      <c r="C77" s="37"/>
      <c r="D77" s="37"/>
    </row>
    <row r="78" spans="1:180" ht="15.75" customHeight="1" x14ac:dyDescent="0.25">
      <c r="B78" s="37"/>
      <c r="C78" s="70" t="s">
        <v>307</v>
      </c>
      <c r="D78" s="37"/>
      <c r="T78" s="70" t="s">
        <v>308</v>
      </c>
      <c r="U78" s="71"/>
      <c r="V78" s="71"/>
      <c r="W78" s="71"/>
      <c r="X78" s="71"/>
      <c r="Y78" s="71"/>
    </row>
    <row r="79" spans="1:180" ht="15.75" customHeight="1" x14ac:dyDescent="0.25">
      <c r="B79" s="37"/>
      <c r="C79" s="71"/>
      <c r="D79" s="37"/>
      <c r="T79" s="71"/>
      <c r="U79" s="71"/>
      <c r="V79" s="71"/>
      <c r="W79" s="71"/>
      <c r="X79" s="71"/>
      <c r="Y79" s="71"/>
    </row>
    <row r="80" spans="1:180" ht="15.75" customHeight="1" x14ac:dyDescent="0.25">
      <c r="B80" s="37"/>
      <c r="C80" s="37"/>
      <c r="D80" s="37"/>
    </row>
    <row r="81" spans="2:4" ht="15.75" customHeight="1" x14ac:dyDescent="0.25">
      <c r="B81" s="37"/>
      <c r="C81" s="37"/>
      <c r="D81" s="37"/>
    </row>
    <row r="82" spans="2:4" ht="15.75" customHeight="1" x14ac:dyDescent="0.25">
      <c r="B82" s="37"/>
      <c r="C82" s="37"/>
      <c r="D82" s="37"/>
    </row>
    <row r="83" spans="2:4" ht="15.75" customHeight="1" x14ac:dyDescent="0.25">
      <c r="B83" s="37"/>
      <c r="C83" s="37"/>
      <c r="D83" s="37"/>
    </row>
    <row r="84" spans="2:4" ht="15.75" customHeight="1" x14ac:dyDescent="0.25">
      <c r="B84" s="37"/>
      <c r="C84" s="37"/>
      <c r="D84" s="37"/>
    </row>
    <row r="85" spans="2:4" ht="15.75" customHeight="1" x14ac:dyDescent="0.25">
      <c r="B85" s="37"/>
      <c r="C85" s="37"/>
      <c r="D85" s="37"/>
    </row>
    <row r="86" spans="2:4" ht="15.75" customHeight="1" x14ac:dyDescent="0.25">
      <c r="B86" s="37"/>
      <c r="C86" s="37"/>
      <c r="D86" s="37"/>
    </row>
    <row r="87" spans="2:4" ht="15.75" customHeight="1" x14ac:dyDescent="0.25">
      <c r="B87" s="37"/>
      <c r="C87" s="37"/>
      <c r="D87" s="37"/>
    </row>
    <row r="88" spans="2:4" ht="15.75" customHeight="1" x14ac:dyDescent="0.25">
      <c r="B88" s="37"/>
      <c r="C88" s="37"/>
      <c r="D88" s="37"/>
    </row>
    <row r="89" spans="2:4" ht="15.75" customHeight="1" x14ac:dyDescent="0.25">
      <c r="B89" s="37"/>
      <c r="C89" s="37"/>
      <c r="D89" s="37"/>
    </row>
    <row r="90" spans="2:4" ht="15.75" customHeight="1" x14ac:dyDescent="0.25">
      <c r="B90" s="37"/>
      <c r="C90" s="37"/>
      <c r="D90" s="37"/>
    </row>
    <row r="91" spans="2:4" ht="15.75" customHeight="1" x14ac:dyDescent="0.25">
      <c r="B91" s="37"/>
      <c r="C91" s="37"/>
      <c r="D91" s="37"/>
    </row>
    <row r="92" spans="2:4" ht="15.75" customHeight="1" x14ac:dyDescent="0.25">
      <c r="B92" s="37"/>
      <c r="C92" s="37"/>
      <c r="D92" s="37"/>
    </row>
    <row r="93" spans="2:4" ht="15.75" customHeight="1" x14ac:dyDescent="0.25">
      <c r="B93" s="37"/>
      <c r="C93" s="37"/>
      <c r="D93" s="37"/>
    </row>
    <row r="94" spans="2:4" ht="15.75" customHeight="1" x14ac:dyDescent="0.25">
      <c r="B94" s="37"/>
      <c r="C94" s="37"/>
      <c r="D94" s="37"/>
    </row>
    <row r="95" spans="2:4" ht="15.75" customHeight="1" x14ac:dyDescent="0.25">
      <c r="B95" s="37"/>
      <c r="C95" s="37"/>
      <c r="D95" s="37"/>
    </row>
    <row r="96" spans="2:4" ht="15.75" customHeight="1" x14ac:dyDescent="0.25">
      <c r="B96" s="37"/>
      <c r="C96" s="37"/>
      <c r="D96" s="37"/>
    </row>
    <row r="97" spans="2:4" ht="15.75" customHeight="1" x14ac:dyDescent="0.25">
      <c r="B97" s="37"/>
      <c r="C97" s="37"/>
      <c r="D97" s="37"/>
    </row>
    <row r="98" spans="2:4" ht="15.75" customHeight="1" x14ac:dyDescent="0.25">
      <c r="B98" s="37"/>
      <c r="C98" s="37"/>
      <c r="D98" s="37"/>
    </row>
    <row r="99" spans="2:4" ht="15.75" customHeight="1" x14ac:dyDescent="0.25">
      <c r="B99" s="37"/>
      <c r="C99" s="37"/>
      <c r="D99" s="37"/>
    </row>
    <row r="100" spans="2:4" ht="15.75" customHeight="1" x14ac:dyDescent="0.25">
      <c r="B100" s="37"/>
      <c r="C100" s="37"/>
      <c r="D100" s="37"/>
    </row>
    <row r="101" spans="2:4" ht="15.75" customHeight="1" x14ac:dyDescent="0.25">
      <c r="B101" s="37"/>
      <c r="C101" s="37"/>
      <c r="D101" s="37"/>
    </row>
    <row r="102" spans="2:4" ht="15.75" customHeight="1" x14ac:dyDescent="0.25">
      <c r="B102" s="37"/>
      <c r="C102" s="37"/>
      <c r="D102" s="37"/>
    </row>
    <row r="103" spans="2:4" ht="15.75" customHeight="1" x14ac:dyDescent="0.25">
      <c r="B103" s="37"/>
      <c r="C103" s="37"/>
      <c r="D103" s="37"/>
    </row>
    <row r="104" spans="2:4" ht="15.75" customHeight="1" x14ac:dyDescent="0.25">
      <c r="B104" s="37"/>
      <c r="C104" s="37"/>
      <c r="D104" s="37"/>
    </row>
    <row r="105" spans="2:4" ht="15.75" customHeight="1" x14ac:dyDescent="0.25">
      <c r="B105" s="37"/>
      <c r="C105" s="37"/>
      <c r="D105" s="37"/>
    </row>
    <row r="106" spans="2:4" ht="15.75" customHeight="1" x14ac:dyDescent="0.25">
      <c r="B106" s="37"/>
      <c r="C106" s="37"/>
      <c r="D106" s="37"/>
    </row>
    <row r="107" spans="2:4" ht="15.75" customHeight="1" x14ac:dyDescent="0.25">
      <c r="B107" s="37"/>
      <c r="C107" s="37"/>
      <c r="D107" s="37"/>
    </row>
    <row r="108" spans="2:4" ht="15.75" customHeight="1" x14ac:dyDescent="0.25">
      <c r="B108" s="37"/>
      <c r="C108" s="37"/>
      <c r="D108" s="37"/>
    </row>
    <row r="109" spans="2:4" ht="15.75" customHeight="1" x14ac:dyDescent="0.25">
      <c r="B109" s="37"/>
      <c r="C109" s="37"/>
      <c r="D109" s="37"/>
    </row>
    <row r="110" spans="2:4" ht="15.75" customHeight="1" x14ac:dyDescent="0.25">
      <c r="B110" s="37"/>
      <c r="C110" s="37"/>
      <c r="D110" s="37"/>
    </row>
    <row r="111" spans="2:4" ht="15.75" customHeight="1" x14ac:dyDescent="0.25">
      <c r="B111" s="37"/>
      <c r="C111" s="37"/>
      <c r="D111" s="37"/>
    </row>
    <row r="112" spans="2:4" ht="15.75" customHeight="1" x14ac:dyDescent="0.25">
      <c r="B112" s="37"/>
      <c r="C112" s="37"/>
      <c r="D112" s="37"/>
    </row>
    <row r="113" spans="2:4" ht="15.75" customHeight="1" x14ac:dyDescent="0.25">
      <c r="B113" s="37"/>
      <c r="C113" s="37"/>
      <c r="D113" s="37"/>
    </row>
    <row r="114" spans="2:4" ht="15.75" customHeight="1" x14ac:dyDescent="0.25">
      <c r="B114" s="37"/>
      <c r="C114" s="37"/>
      <c r="D114" s="37"/>
    </row>
    <row r="115" spans="2:4" ht="15.75" customHeight="1" x14ac:dyDescent="0.25">
      <c r="B115" s="37"/>
      <c r="C115" s="37"/>
      <c r="D115" s="37"/>
    </row>
    <row r="116" spans="2:4" ht="15.75" customHeight="1" x14ac:dyDescent="0.25">
      <c r="B116" s="37"/>
      <c r="C116" s="37"/>
      <c r="D116" s="37"/>
    </row>
    <row r="117" spans="2:4" ht="15.75" customHeight="1" x14ac:dyDescent="0.25">
      <c r="B117" s="37"/>
      <c r="C117" s="37"/>
      <c r="D117" s="37"/>
    </row>
    <row r="118" spans="2:4" ht="15.75" customHeight="1" x14ac:dyDescent="0.25">
      <c r="B118" s="37"/>
      <c r="C118" s="37"/>
      <c r="D118" s="37"/>
    </row>
    <row r="119" spans="2:4" ht="15.75" customHeight="1" x14ac:dyDescent="0.25">
      <c r="B119" s="37"/>
      <c r="C119" s="37"/>
      <c r="D119" s="37"/>
    </row>
    <row r="120" spans="2:4" ht="15.75" customHeight="1" x14ac:dyDescent="0.25">
      <c r="B120" s="37"/>
      <c r="C120" s="37"/>
      <c r="D120" s="37"/>
    </row>
    <row r="121" spans="2:4" ht="15.75" customHeight="1" x14ac:dyDescent="0.25">
      <c r="B121" s="37"/>
      <c r="C121" s="37"/>
      <c r="D121" s="37"/>
    </row>
    <row r="122" spans="2:4" ht="15.75" customHeight="1" x14ac:dyDescent="0.25">
      <c r="B122" s="37"/>
      <c r="C122" s="37"/>
      <c r="D122" s="37"/>
    </row>
    <row r="123" spans="2:4" ht="15.75" customHeight="1" x14ac:dyDescent="0.25">
      <c r="B123" s="37"/>
      <c r="C123" s="37"/>
      <c r="D123" s="37"/>
    </row>
    <row r="124" spans="2:4" ht="15.75" customHeight="1" x14ac:dyDescent="0.25">
      <c r="B124" s="37"/>
      <c r="C124" s="37"/>
      <c r="D124" s="37"/>
    </row>
    <row r="125" spans="2:4" ht="15.75" customHeight="1" x14ac:dyDescent="0.25">
      <c r="B125" s="37"/>
      <c r="C125" s="37"/>
      <c r="D125" s="37"/>
    </row>
    <row r="126" spans="2:4" ht="15.75" customHeight="1" x14ac:dyDescent="0.25">
      <c r="B126" s="37"/>
      <c r="C126" s="37"/>
      <c r="D126" s="37"/>
    </row>
    <row r="127" spans="2:4" ht="15.75" customHeight="1" x14ac:dyDescent="0.25">
      <c r="B127" s="37"/>
      <c r="C127" s="37"/>
      <c r="D127" s="37"/>
    </row>
    <row r="128" spans="2:4" ht="15.75" customHeight="1" x14ac:dyDescent="0.25">
      <c r="B128" s="37"/>
      <c r="C128" s="37"/>
      <c r="D128" s="37"/>
    </row>
    <row r="129" spans="2:4" ht="15.75" customHeight="1" x14ac:dyDescent="0.25">
      <c r="B129" s="37"/>
      <c r="C129" s="37"/>
      <c r="D129" s="37"/>
    </row>
    <row r="130" spans="2:4" ht="15.75" customHeight="1" x14ac:dyDescent="0.25">
      <c r="B130" s="37"/>
      <c r="C130" s="37"/>
      <c r="D130" s="37"/>
    </row>
    <row r="131" spans="2:4" ht="15.75" customHeight="1" x14ac:dyDescent="0.25">
      <c r="B131" s="37"/>
      <c r="C131" s="37"/>
      <c r="D131" s="37"/>
    </row>
    <row r="132" spans="2:4" ht="15.75" customHeight="1" x14ac:dyDescent="0.25">
      <c r="B132" s="37"/>
      <c r="C132" s="37"/>
      <c r="D132" s="37"/>
    </row>
    <row r="133" spans="2:4" ht="15.75" customHeight="1" x14ac:dyDescent="0.25">
      <c r="B133" s="37"/>
      <c r="C133" s="37"/>
      <c r="D133" s="37"/>
    </row>
    <row r="134" spans="2:4" ht="15.75" customHeight="1" x14ac:dyDescent="0.25">
      <c r="B134" s="37"/>
      <c r="C134" s="37"/>
      <c r="D134" s="37"/>
    </row>
    <row r="135" spans="2:4" ht="15.75" customHeight="1" x14ac:dyDescent="0.25">
      <c r="B135" s="37"/>
      <c r="C135" s="37"/>
      <c r="D135" s="37"/>
    </row>
    <row r="136" spans="2:4" ht="15.75" customHeight="1" x14ac:dyDescent="0.25">
      <c r="B136" s="37"/>
      <c r="C136" s="37"/>
      <c r="D136" s="37"/>
    </row>
    <row r="137" spans="2:4" ht="15.75" customHeight="1" x14ac:dyDescent="0.25">
      <c r="B137" s="37"/>
      <c r="C137" s="37"/>
      <c r="D137" s="37"/>
    </row>
    <row r="138" spans="2:4" ht="15.75" customHeight="1" x14ac:dyDescent="0.25">
      <c r="B138" s="37"/>
      <c r="C138" s="37"/>
      <c r="D138" s="37"/>
    </row>
    <row r="139" spans="2:4" ht="15.75" customHeight="1" x14ac:dyDescent="0.25">
      <c r="B139" s="37"/>
      <c r="C139" s="37"/>
      <c r="D139" s="37"/>
    </row>
    <row r="140" spans="2:4" ht="15.75" customHeight="1" x14ac:dyDescent="0.25">
      <c r="B140" s="37"/>
      <c r="C140" s="37"/>
      <c r="D140" s="37"/>
    </row>
    <row r="141" spans="2:4" ht="15.75" customHeight="1" x14ac:dyDescent="0.25">
      <c r="B141" s="37"/>
      <c r="C141" s="37"/>
      <c r="D141" s="37"/>
    </row>
    <row r="142" spans="2:4" ht="15.75" customHeight="1" x14ac:dyDescent="0.25">
      <c r="B142" s="37"/>
      <c r="C142" s="37"/>
      <c r="D142" s="37"/>
    </row>
    <row r="143" spans="2:4" ht="15.75" customHeight="1" x14ac:dyDescent="0.25">
      <c r="B143" s="37"/>
      <c r="C143" s="37"/>
      <c r="D143" s="37"/>
    </row>
    <row r="144" spans="2:4" ht="15.75" customHeight="1" x14ac:dyDescent="0.25">
      <c r="B144" s="37"/>
      <c r="C144" s="37"/>
      <c r="D144" s="37"/>
    </row>
    <row r="145" spans="2:4" ht="15.75" customHeight="1" x14ac:dyDescent="0.25">
      <c r="B145" s="37"/>
      <c r="C145" s="37"/>
      <c r="D145" s="37"/>
    </row>
    <row r="146" spans="2:4" ht="15.75" customHeight="1" x14ac:dyDescent="0.25">
      <c r="B146" s="37"/>
      <c r="C146" s="37"/>
      <c r="D146" s="37"/>
    </row>
    <row r="147" spans="2:4" ht="15.75" customHeight="1" x14ac:dyDescent="0.25">
      <c r="B147" s="37"/>
      <c r="C147" s="37"/>
      <c r="D147" s="37"/>
    </row>
    <row r="148" spans="2:4" ht="15.75" customHeight="1" x14ac:dyDescent="0.25">
      <c r="B148" s="37"/>
      <c r="C148" s="37"/>
      <c r="D148" s="37"/>
    </row>
    <row r="149" spans="2:4" ht="15.75" customHeight="1" x14ac:dyDescent="0.25">
      <c r="B149" s="37"/>
      <c r="C149" s="37"/>
      <c r="D149" s="37"/>
    </row>
    <row r="150" spans="2:4" ht="15.75" customHeight="1" x14ac:dyDescent="0.25">
      <c r="B150" s="37"/>
      <c r="C150" s="37"/>
      <c r="D150" s="37"/>
    </row>
    <row r="151" spans="2:4" ht="15.75" customHeight="1" x14ac:dyDescent="0.25">
      <c r="B151" s="37"/>
      <c r="C151" s="37"/>
      <c r="D151" s="37"/>
    </row>
    <row r="152" spans="2:4" ht="15.75" customHeight="1" x14ac:dyDescent="0.25">
      <c r="B152" s="37"/>
      <c r="C152" s="37"/>
      <c r="D152" s="37"/>
    </row>
    <row r="153" spans="2:4" ht="15.75" customHeight="1" x14ac:dyDescent="0.25">
      <c r="B153" s="37"/>
      <c r="C153" s="37"/>
      <c r="D153" s="37"/>
    </row>
    <row r="154" spans="2:4" ht="15.75" customHeight="1" x14ac:dyDescent="0.25">
      <c r="B154" s="37"/>
      <c r="C154" s="37"/>
      <c r="D154" s="37"/>
    </row>
    <row r="155" spans="2:4" ht="15.75" customHeight="1" x14ac:dyDescent="0.25">
      <c r="B155" s="37"/>
      <c r="C155" s="37"/>
      <c r="D155" s="37"/>
    </row>
    <row r="156" spans="2:4" ht="15.75" customHeight="1" x14ac:dyDescent="0.25">
      <c r="B156" s="37"/>
      <c r="C156" s="37"/>
      <c r="D156" s="37"/>
    </row>
    <row r="157" spans="2:4" ht="15.75" customHeight="1" x14ac:dyDescent="0.25">
      <c r="B157" s="37"/>
      <c r="C157" s="37"/>
      <c r="D157" s="37"/>
    </row>
    <row r="158" spans="2:4" ht="15.75" customHeight="1" x14ac:dyDescent="0.25">
      <c r="B158" s="37"/>
      <c r="C158" s="37"/>
      <c r="D158" s="37"/>
    </row>
    <row r="159" spans="2:4" ht="15.75" customHeight="1" x14ac:dyDescent="0.25">
      <c r="B159" s="37"/>
      <c r="C159" s="37"/>
      <c r="D159" s="37"/>
    </row>
    <row r="160" spans="2:4" ht="15.75" customHeight="1" x14ac:dyDescent="0.25">
      <c r="B160" s="37"/>
      <c r="C160" s="37"/>
      <c r="D160" s="37"/>
    </row>
    <row r="161" spans="2:4" ht="15.75" customHeight="1" x14ac:dyDescent="0.25">
      <c r="B161" s="37"/>
      <c r="C161" s="37"/>
      <c r="D161" s="37"/>
    </row>
    <row r="162" spans="2:4" ht="15.75" customHeight="1" x14ac:dyDescent="0.25">
      <c r="B162" s="37"/>
      <c r="C162" s="37"/>
      <c r="D162" s="37"/>
    </row>
    <row r="163" spans="2:4" ht="15.75" customHeight="1" x14ac:dyDescent="0.25">
      <c r="B163" s="37"/>
      <c r="C163" s="37"/>
      <c r="D163" s="37"/>
    </row>
    <row r="164" spans="2:4" ht="15.75" customHeight="1" x14ac:dyDescent="0.25">
      <c r="B164" s="37"/>
      <c r="C164" s="37"/>
      <c r="D164" s="37"/>
    </row>
    <row r="165" spans="2:4" ht="15.75" customHeight="1" x14ac:dyDescent="0.25">
      <c r="B165" s="37"/>
      <c r="C165" s="37"/>
      <c r="D165" s="37"/>
    </row>
    <row r="166" spans="2:4" ht="15.75" customHeight="1" x14ac:dyDescent="0.25">
      <c r="B166" s="37"/>
      <c r="C166" s="37"/>
      <c r="D166" s="37"/>
    </row>
    <row r="167" spans="2:4" ht="15.75" customHeight="1" x14ac:dyDescent="0.25">
      <c r="B167" s="37"/>
      <c r="C167" s="37"/>
      <c r="D167" s="37"/>
    </row>
    <row r="168" spans="2:4" ht="15.75" customHeight="1" x14ac:dyDescent="0.25">
      <c r="B168" s="37"/>
      <c r="C168" s="37"/>
      <c r="D168" s="37"/>
    </row>
    <row r="169" spans="2:4" ht="15.75" customHeight="1" x14ac:dyDescent="0.25">
      <c r="B169" s="37"/>
      <c r="C169" s="37"/>
      <c r="D169" s="37"/>
    </row>
    <row r="170" spans="2:4" ht="15.75" customHeight="1" x14ac:dyDescent="0.25">
      <c r="B170" s="37"/>
      <c r="C170" s="37"/>
      <c r="D170" s="37"/>
    </row>
    <row r="171" spans="2:4" ht="15.75" customHeight="1" x14ac:dyDescent="0.25">
      <c r="B171" s="37"/>
      <c r="C171" s="37"/>
      <c r="D171" s="37"/>
    </row>
    <row r="172" spans="2:4" ht="15.75" customHeight="1" x14ac:dyDescent="0.25">
      <c r="B172" s="37"/>
      <c r="C172" s="37"/>
      <c r="D172" s="37"/>
    </row>
    <row r="173" spans="2:4" ht="15.75" customHeight="1" x14ac:dyDescent="0.25">
      <c r="B173" s="37"/>
      <c r="C173" s="37"/>
      <c r="D173" s="37"/>
    </row>
    <row r="174" spans="2:4" ht="15.75" customHeight="1" x14ac:dyDescent="0.25">
      <c r="B174" s="37"/>
      <c r="C174" s="37"/>
      <c r="D174" s="37"/>
    </row>
    <row r="175" spans="2:4" ht="15.75" customHeight="1" x14ac:dyDescent="0.25">
      <c r="B175" s="37"/>
      <c r="C175" s="37"/>
      <c r="D175" s="37"/>
    </row>
    <row r="176" spans="2:4" ht="15.75" customHeight="1" x14ac:dyDescent="0.25">
      <c r="B176" s="37"/>
      <c r="C176" s="37"/>
      <c r="D176" s="37"/>
    </row>
    <row r="177" spans="2:4" ht="15.75" customHeight="1" x14ac:dyDescent="0.25">
      <c r="B177" s="37"/>
      <c r="C177" s="37"/>
      <c r="D177" s="37"/>
    </row>
    <row r="178" spans="2:4" ht="15.75" customHeight="1" x14ac:dyDescent="0.25">
      <c r="B178" s="37"/>
      <c r="C178" s="37"/>
      <c r="D178" s="37"/>
    </row>
    <row r="179" spans="2:4" ht="15.75" customHeight="1" x14ac:dyDescent="0.25">
      <c r="B179" s="37"/>
      <c r="C179" s="37"/>
      <c r="D179" s="37"/>
    </row>
    <row r="180" spans="2:4" ht="15.75" customHeight="1" x14ac:dyDescent="0.25">
      <c r="B180" s="37"/>
      <c r="C180" s="37"/>
      <c r="D180" s="37"/>
    </row>
    <row r="181" spans="2:4" ht="15.75" customHeight="1" x14ac:dyDescent="0.25">
      <c r="B181" s="37"/>
      <c r="C181" s="37"/>
      <c r="D181" s="37"/>
    </row>
    <row r="182" spans="2:4" ht="15.75" customHeight="1" x14ac:dyDescent="0.25">
      <c r="B182" s="37"/>
      <c r="C182" s="37"/>
      <c r="D182" s="37"/>
    </row>
    <row r="183" spans="2:4" ht="15.75" customHeight="1" x14ac:dyDescent="0.25">
      <c r="B183" s="37"/>
      <c r="C183" s="37"/>
      <c r="D183" s="37"/>
    </row>
    <row r="184" spans="2:4" ht="15.75" customHeight="1" x14ac:dyDescent="0.25">
      <c r="B184" s="37"/>
      <c r="C184" s="37"/>
      <c r="D184" s="37"/>
    </row>
    <row r="185" spans="2:4" ht="15.75" customHeight="1" x14ac:dyDescent="0.25">
      <c r="B185" s="37"/>
      <c r="C185" s="37"/>
      <c r="D185" s="37"/>
    </row>
    <row r="186" spans="2:4" ht="15.75" customHeight="1" x14ac:dyDescent="0.25">
      <c r="B186" s="37"/>
      <c r="C186" s="37"/>
      <c r="D186" s="37"/>
    </row>
    <row r="187" spans="2:4" ht="15.75" customHeight="1" x14ac:dyDescent="0.25">
      <c r="B187" s="37"/>
      <c r="C187" s="37"/>
      <c r="D187" s="37"/>
    </row>
    <row r="188" spans="2:4" ht="15.75" customHeight="1" x14ac:dyDescent="0.25">
      <c r="B188" s="37"/>
      <c r="C188" s="37"/>
      <c r="D188" s="37"/>
    </row>
    <row r="189" spans="2:4" ht="15.75" customHeight="1" x14ac:dyDescent="0.25">
      <c r="B189" s="37"/>
      <c r="C189" s="37"/>
      <c r="D189" s="37"/>
    </row>
    <row r="190" spans="2:4" ht="15.75" customHeight="1" x14ac:dyDescent="0.25">
      <c r="B190" s="37"/>
      <c r="C190" s="37"/>
      <c r="D190" s="37"/>
    </row>
    <row r="191" spans="2:4" ht="15.75" customHeight="1" x14ac:dyDescent="0.25">
      <c r="B191" s="37"/>
      <c r="C191" s="37"/>
      <c r="D191" s="37"/>
    </row>
    <row r="192" spans="2:4" ht="15.75" customHeight="1" x14ac:dyDescent="0.25">
      <c r="B192" s="37"/>
      <c r="C192" s="37"/>
      <c r="D192" s="37"/>
    </row>
    <row r="193" spans="2:4" ht="15.75" customHeight="1" x14ac:dyDescent="0.25">
      <c r="B193" s="37"/>
      <c r="C193" s="37"/>
      <c r="D193" s="37"/>
    </row>
    <row r="194" spans="2:4" ht="15.75" customHeight="1" x14ac:dyDescent="0.25">
      <c r="B194" s="37"/>
      <c r="C194" s="37"/>
      <c r="D194" s="37"/>
    </row>
    <row r="195" spans="2:4" ht="15.75" customHeight="1" x14ac:dyDescent="0.25">
      <c r="B195" s="37"/>
      <c r="C195" s="37"/>
      <c r="D195" s="37"/>
    </row>
    <row r="196" spans="2:4" ht="15.75" customHeight="1" x14ac:dyDescent="0.25">
      <c r="B196" s="37"/>
      <c r="C196" s="37"/>
      <c r="D196" s="37"/>
    </row>
    <row r="197" spans="2:4" ht="15.75" customHeight="1" x14ac:dyDescent="0.25">
      <c r="B197" s="37"/>
      <c r="C197" s="37"/>
      <c r="D197" s="37"/>
    </row>
    <row r="198" spans="2:4" ht="15.75" customHeight="1" x14ac:dyDescent="0.25">
      <c r="B198" s="37"/>
      <c r="C198" s="37"/>
      <c r="D198" s="37"/>
    </row>
    <row r="199" spans="2:4" ht="15.75" customHeight="1" x14ac:dyDescent="0.25">
      <c r="B199" s="37"/>
      <c r="C199" s="37"/>
      <c r="D199" s="37"/>
    </row>
    <row r="200" spans="2:4" ht="15.75" customHeight="1" x14ac:dyDescent="0.25">
      <c r="B200" s="37"/>
      <c r="C200" s="37"/>
      <c r="D200" s="37"/>
    </row>
    <row r="201" spans="2:4" ht="15.75" customHeight="1" x14ac:dyDescent="0.25">
      <c r="B201" s="37"/>
      <c r="C201" s="37"/>
      <c r="D201" s="37"/>
    </row>
    <row r="202" spans="2:4" ht="15.75" customHeight="1" x14ac:dyDescent="0.25">
      <c r="B202" s="37"/>
      <c r="C202" s="37"/>
      <c r="D202" s="37"/>
    </row>
    <row r="203" spans="2:4" ht="15.75" customHeight="1" x14ac:dyDescent="0.25">
      <c r="B203" s="37"/>
      <c r="C203" s="37"/>
      <c r="D203" s="37"/>
    </row>
    <row r="204" spans="2:4" ht="15.75" customHeight="1" x14ac:dyDescent="0.25">
      <c r="B204" s="37"/>
      <c r="C204" s="37"/>
      <c r="D204" s="37"/>
    </row>
    <row r="205" spans="2:4" ht="15.75" customHeight="1" x14ac:dyDescent="0.25">
      <c r="B205" s="37"/>
      <c r="C205" s="37"/>
      <c r="D205" s="37"/>
    </row>
    <row r="206" spans="2:4" ht="15.75" customHeight="1" x14ac:dyDescent="0.25">
      <c r="B206" s="37"/>
      <c r="C206" s="37"/>
      <c r="D206" s="37"/>
    </row>
    <row r="207" spans="2:4" ht="15.75" customHeight="1" x14ac:dyDescent="0.25">
      <c r="B207" s="37"/>
      <c r="C207" s="37"/>
      <c r="D207" s="37"/>
    </row>
    <row r="208" spans="2:4" ht="15.75" customHeight="1" x14ac:dyDescent="0.25">
      <c r="B208" s="37"/>
      <c r="C208" s="37"/>
      <c r="D208" s="37"/>
    </row>
    <row r="209" spans="2:4" ht="15.75" customHeight="1" x14ac:dyDescent="0.25">
      <c r="B209" s="37"/>
      <c r="C209" s="37"/>
      <c r="D209" s="37"/>
    </row>
    <row r="210" spans="2:4" ht="15.75" customHeight="1" x14ac:dyDescent="0.25">
      <c r="B210" s="37"/>
      <c r="C210" s="37"/>
      <c r="D210" s="37"/>
    </row>
    <row r="211" spans="2:4" ht="15.75" customHeight="1" x14ac:dyDescent="0.25">
      <c r="B211" s="37"/>
      <c r="C211" s="37"/>
      <c r="D211" s="37"/>
    </row>
    <row r="212" spans="2:4" ht="15.75" customHeight="1" x14ac:dyDescent="0.25">
      <c r="B212" s="37"/>
      <c r="C212" s="37"/>
      <c r="D212" s="37"/>
    </row>
    <row r="213" spans="2:4" ht="15.75" customHeight="1" x14ac:dyDescent="0.25">
      <c r="B213" s="37"/>
      <c r="C213" s="37"/>
      <c r="D213" s="37"/>
    </row>
    <row r="214" spans="2:4" ht="15.75" customHeight="1" x14ac:dyDescent="0.25">
      <c r="B214" s="37"/>
      <c r="C214" s="37"/>
      <c r="D214" s="37"/>
    </row>
    <row r="215" spans="2:4" ht="15.75" customHeight="1" x14ac:dyDescent="0.25">
      <c r="B215" s="37"/>
      <c r="C215" s="37"/>
      <c r="D215" s="37"/>
    </row>
    <row r="216" spans="2:4" ht="15.75" customHeight="1" x14ac:dyDescent="0.25">
      <c r="B216" s="37"/>
      <c r="C216" s="37"/>
      <c r="D216" s="37"/>
    </row>
    <row r="217" spans="2:4" ht="15.75" customHeight="1" x14ac:dyDescent="0.25">
      <c r="B217" s="37"/>
      <c r="C217" s="37"/>
      <c r="D217" s="37"/>
    </row>
    <row r="218" spans="2:4" ht="15.75" customHeight="1" x14ac:dyDescent="0.25">
      <c r="B218" s="37"/>
      <c r="C218" s="37"/>
      <c r="D218" s="37"/>
    </row>
    <row r="219" spans="2:4" ht="15.75" customHeight="1" x14ac:dyDescent="0.25">
      <c r="B219" s="37"/>
      <c r="C219" s="37"/>
      <c r="D219" s="37"/>
    </row>
    <row r="220" spans="2:4" ht="15.75" customHeight="1" x14ac:dyDescent="0.25">
      <c r="B220" s="37"/>
      <c r="C220" s="37"/>
      <c r="D220" s="37"/>
    </row>
    <row r="221" spans="2:4" ht="15.75" customHeight="1" x14ac:dyDescent="0.25">
      <c r="B221" s="37"/>
      <c r="C221" s="37"/>
      <c r="D221" s="37"/>
    </row>
    <row r="222" spans="2:4" ht="15.75" customHeight="1" x14ac:dyDescent="0.25">
      <c r="B222" s="37"/>
      <c r="C222" s="37"/>
      <c r="D222" s="37"/>
    </row>
    <row r="223" spans="2:4" ht="15.75" customHeight="1" x14ac:dyDescent="0.25">
      <c r="B223" s="37"/>
      <c r="C223" s="37"/>
      <c r="D223" s="37"/>
    </row>
    <row r="224" spans="2:4" ht="15.75" customHeight="1" x14ac:dyDescent="0.25">
      <c r="B224" s="37"/>
      <c r="C224" s="37"/>
      <c r="D224" s="37"/>
    </row>
    <row r="225" spans="2:4" ht="15.75" customHeight="1" x14ac:dyDescent="0.25">
      <c r="B225" s="37"/>
      <c r="C225" s="37"/>
      <c r="D225" s="37"/>
    </row>
    <row r="226" spans="2:4" ht="15.75" customHeight="1" x14ac:dyDescent="0.25">
      <c r="B226" s="37"/>
      <c r="C226" s="37"/>
      <c r="D226" s="37"/>
    </row>
    <row r="227" spans="2:4" ht="15.75" customHeight="1" x14ac:dyDescent="0.25">
      <c r="B227" s="37"/>
      <c r="C227" s="37"/>
      <c r="D227" s="37"/>
    </row>
    <row r="228" spans="2:4" ht="15.75" customHeight="1" x14ac:dyDescent="0.25">
      <c r="B228" s="37"/>
      <c r="C228" s="37"/>
      <c r="D228" s="37"/>
    </row>
    <row r="229" spans="2:4" ht="15.75" customHeight="1" x14ac:dyDescent="0.25">
      <c r="B229" s="37"/>
      <c r="C229" s="37"/>
      <c r="D229" s="37"/>
    </row>
    <row r="230" spans="2:4" ht="15.75" customHeight="1" x14ac:dyDescent="0.25">
      <c r="B230" s="37"/>
      <c r="C230" s="37"/>
      <c r="D230" s="37"/>
    </row>
    <row r="231" spans="2:4" ht="15.75" customHeight="1" x14ac:dyDescent="0.25">
      <c r="B231" s="37"/>
      <c r="C231" s="37"/>
      <c r="D231" s="37"/>
    </row>
    <row r="232" spans="2:4" ht="15.75" customHeight="1" x14ac:dyDescent="0.25">
      <c r="B232" s="37"/>
      <c r="C232" s="37"/>
      <c r="D232" s="37"/>
    </row>
    <row r="233" spans="2:4" ht="15.75" customHeight="1" x14ac:dyDescent="0.25">
      <c r="B233" s="37"/>
      <c r="C233" s="37"/>
      <c r="D233" s="37"/>
    </row>
    <row r="234" spans="2:4" ht="15.75" customHeight="1" x14ac:dyDescent="0.25">
      <c r="B234" s="37"/>
      <c r="C234" s="37"/>
      <c r="D234" s="37"/>
    </row>
    <row r="235" spans="2:4" ht="15.75" customHeight="1" x14ac:dyDescent="0.25">
      <c r="B235" s="37"/>
      <c r="C235" s="37"/>
      <c r="D235" s="37"/>
    </row>
    <row r="236" spans="2:4" ht="15.75" customHeight="1" x14ac:dyDescent="0.25">
      <c r="B236" s="37"/>
      <c r="C236" s="37"/>
      <c r="D236" s="37"/>
    </row>
    <row r="237" spans="2:4" ht="15.75" customHeight="1" x14ac:dyDescent="0.25">
      <c r="B237" s="37"/>
      <c r="C237" s="37"/>
      <c r="D237" s="37"/>
    </row>
    <row r="238" spans="2:4" ht="15.75" customHeight="1" x14ac:dyDescent="0.25">
      <c r="B238" s="37"/>
      <c r="C238" s="37"/>
      <c r="D238" s="37"/>
    </row>
    <row r="239" spans="2:4" ht="15.75" customHeight="1" x14ac:dyDescent="0.25">
      <c r="B239" s="37"/>
      <c r="C239" s="37"/>
      <c r="D239" s="37"/>
    </row>
    <row r="240" spans="2:4" ht="15.75" customHeight="1" x14ac:dyDescent="0.25">
      <c r="B240" s="37"/>
      <c r="C240" s="37"/>
      <c r="D240" s="37"/>
    </row>
    <row r="241" spans="2:4" ht="15.75" customHeight="1" x14ac:dyDescent="0.25">
      <c r="B241" s="37"/>
      <c r="C241" s="37"/>
      <c r="D241" s="37"/>
    </row>
    <row r="242" spans="2:4" ht="15.75" customHeight="1" x14ac:dyDescent="0.25">
      <c r="B242" s="37"/>
      <c r="C242" s="37"/>
      <c r="D242" s="37"/>
    </row>
    <row r="243" spans="2:4" ht="15.75" customHeight="1" x14ac:dyDescent="0.25">
      <c r="B243" s="37"/>
      <c r="C243" s="37"/>
      <c r="D243" s="37"/>
    </row>
    <row r="244" spans="2:4" ht="15.75" customHeight="1" x14ac:dyDescent="0.25">
      <c r="B244" s="37"/>
      <c r="C244" s="37"/>
      <c r="D244" s="37"/>
    </row>
    <row r="245" spans="2:4" ht="15.75" customHeight="1" x14ac:dyDescent="0.25">
      <c r="B245" s="37"/>
      <c r="C245" s="37"/>
      <c r="D245" s="37"/>
    </row>
    <row r="246" spans="2:4" ht="15.75" customHeight="1" x14ac:dyDescent="0.25">
      <c r="B246" s="37"/>
      <c r="C246" s="37"/>
      <c r="D246" s="37"/>
    </row>
    <row r="247" spans="2:4" ht="15.75" customHeight="1" x14ac:dyDescent="0.25">
      <c r="B247" s="37"/>
      <c r="C247" s="37"/>
      <c r="D247" s="37"/>
    </row>
    <row r="248" spans="2:4" ht="15.75" customHeight="1" x14ac:dyDescent="0.25">
      <c r="B248" s="37"/>
      <c r="C248" s="37"/>
      <c r="D248" s="37"/>
    </row>
    <row r="249" spans="2:4" ht="15.75" customHeight="1" x14ac:dyDescent="0.25">
      <c r="B249" s="37"/>
      <c r="C249" s="37"/>
      <c r="D249" s="37"/>
    </row>
    <row r="250" spans="2:4" ht="15.75" customHeight="1" x14ac:dyDescent="0.25">
      <c r="B250" s="37"/>
      <c r="C250" s="37"/>
      <c r="D250" s="37"/>
    </row>
    <row r="251" spans="2:4" ht="15.75" customHeight="1" x14ac:dyDescent="0.25">
      <c r="B251" s="37"/>
      <c r="C251" s="37"/>
      <c r="D251" s="37"/>
    </row>
    <row r="252" spans="2:4" ht="15.75" customHeight="1" x14ac:dyDescent="0.25">
      <c r="B252" s="37"/>
      <c r="C252" s="37"/>
      <c r="D252" s="37"/>
    </row>
    <row r="253" spans="2:4" ht="15.75" customHeight="1" x14ac:dyDescent="0.25">
      <c r="B253" s="37"/>
      <c r="C253" s="37"/>
      <c r="D253" s="37"/>
    </row>
    <row r="254" spans="2:4" ht="15.75" customHeight="1" x14ac:dyDescent="0.25">
      <c r="B254" s="37"/>
      <c r="C254" s="37"/>
      <c r="D254" s="37"/>
    </row>
    <row r="255" spans="2:4" ht="15.75" customHeight="1" x14ac:dyDescent="0.25">
      <c r="B255" s="37"/>
      <c r="C255" s="37"/>
      <c r="D255" s="37"/>
    </row>
    <row r="256" spans="2:4" ht="15.75" customHeight="1" x14ac:dyDescent="0.25">
      <c r="B256" s="37"/>
      <c r="C256" s="37"/>
      <c r="D256" s="37"/>
    </row>
    <row r="257" spans="2:4" ht="15.75" customHeight="1" x14ac:dyDescent="0.25">
      <c r="B257" s="37"/>
      <c r="C257" s="37"/>
      <c r="D257" s="37"/>
    </row>
    <row r="258" spans="2:4" ht="15.75" customHeight="1" x14ac:dyDescent="0.25">
      <c r="B258" s="37"/>
      <c r="C258" s="37"/>
      <c r="D258" s="37"/>
    </row>
    <row r="259" spans="2:4" ht="15.75" customHeight="1" x14ac:dyDescent="0.25">
      <c r="B259" s="37"/>
      <c r="C259" s="37"/>
      <c r="D259" s="37"/>
    </row>
    <row r="260" spans="2:4" ht="15.75" customHeight="1" x14ac:dyDescent="0.25">
      <c r="B260" s="37"/>
      <c r="C260" s="37"/>
      <c r="D260" s="37"/>
    </row>
    <row r="261" spans="2:4" ht="15.75" customHeight="1" x14ac:dyDescent="0.25">
      <c r="B261" s="37"/>
      <c r="C261" s="37"/>
      <c r="D261" s="37"/>
    </row>
    <row r="262" spans="2:4" ht="15.75" customHeight="1" x14ac:dyDescent="0.25">
      <c r="B262" s="37"/>
      <c r="C262" s="37"/>
      <c r="D262" s="37"/>
    </row>
    <row r="263" spans="2:4" ht="15.75" customHeight="1" x14ac:dyDescent="0.25">
      <c r="B263" s="37"/>
      <c r="C263" s="37"/>
      <c r="D263" s="37"/>
    </row>
    <row r="264" spans="2:4" ht="15.75" customHeight="1" x14ac:dyDescent="0.25">
      <c r="B264" s="37"/>
      <c r="C264" s="37"/>
      <c r="D264" s="37"/>
    </row>
    <row r="265" spans="2:4" ht="15.75" customHeight="1" x14ac:dyDescent="0.25">
      <c r="B265" s="37"/>
      <c r="C265" s="37"/>
      <c r="D265" s="37"/>
    </row>
    <row r="266" spans="2:4" ht="15.75" customHeight="1" x14ac:dyDescent="0.25">
      <c r="B266" s="37"/>
      <c r="C266" s="37"/>
      <c r="D266" s="37"/>
    </row>
    <row r="267" spans="2:4" ht="15.75" customHeight="1" x14ac:dyDescent="0.25">
      <c r="B267" s="37"/>
      <c r="C267" s="37"/>
      <c r="D267" s="37"/>
    </row>
    <row r="268" spans="2:4" ht="15.75" customHeight="1" x14ac:dyDescent="0.25">
      <c r="B268" s="37"/>
      <c r="C268" s="37"/>
      <c r="D268" s="37"/>
    </row>
    <row r="269" spans="2:4" ht="15.75" customHeight="1" x14ac:dyDescent="0.25">
      <c r="B269" s="37"/>
      <c r="C269" s="37"/>
      <c r="D269" s="37"/>
    </row>
    <row r="270" spans="2:4" ht="15.75" customHeight="1" x14ac:dyDescent="0.25">
      <c r="B270" s="37"/>
      <c r="C270" s="37"/>
      <c r="D270" s="37"/>
    </row>
    <row r="271" spans="2:4" ht="15.75" customHeight="1" x14ac:dyDescent="0.25">
      <c r="B271" s="37"/>
      <c r="C271" s="37"/>
      <c r="D271" s="37"/>
    </row>
    <row r="272" spans="2:4" ht="15.75" customHeight="1" x14ac:dyDescent="0.25">
      <c r="B272" s="37"/>
      <c r="C272" s="37"/>
      <c r="D272" s="37"/>
    </row>
    <row r="273" spans="2:4" ht="15.75" customHeight="1" x14ac:dyDescent="0.25">
      <c r="B273" s="37"/>
      <c r="C273" s="37"/>
      <c r="D273" s="37"/>
    </row>
    <row r="274" spans="2:4" ht="15.75" customHeight="1" x14ac:dyDescent="0.25">
      <c r="B274" s="37"/>
      <c r="C274" s="37"/>
      <c r="D274" s="37"/>
    </row>
    <row r="275" spans="2:4" ht="15.75" customHeight="1" x14ac:dyDescent="0.25">
      <c r="B275" s="37"/>
      <c r="C275" s="37"/>
      <c r="D275" s="37"/>
    </row>
    <row r="276" spans="2:4" ht="15.75" customHeight="1" x14ac:dyDescent="0.25">
      <c r="B276" s="37"/>
      <c r="C276" s="37"/>
      <c r="D276" s="37"/>
    </row>
    <row r="277" spans="2:4" ht="15.75" customHeight="1" x14ac:dyDescent="0.25">
      <c r="B277" s="37"/>
      <c r="C277" s="37"/>
      <c r="D277" s="37"/>
    </row>
    <row r="278" spans="2:4" ht="15.75" customHeight="1" x14ac:dyDescent="0.25">
      <c r="B278" s="37"/>
      <c r="C278" s="37"/>
      <c r="D278" s="37"/>
    </row>
    <row r="279" spans="2:4" ht="15.75" customHeight="1" x14ac:dyDescent="0.25">
      <c r="B279" s="37"/>
      <c r="C279" s="37"/>
      <c r="D279" s="37"/>
    </row>
    <row r="280" spans="2:4" ht="15.75" customHeight="1" x14ac:dyDescent="0.25">
      <c r="B280" s="37"/>
      <c r="C280" s="37"/>
      <c r="D280" s="37"/>
    </row>
    <row r="281" spans="2:4" ht="15.75" customHeight="1" x14ac:dyDescent="0.25">
      <c r="B281" s="37"/>
      <c r="C281" s="37"/>
      <c r="D281" s="37"/>
    </row>
    <row r="282" spans="2:4" ht="15.75" customHeight="1" x14ac:dyDescent="0.25">
      <c r="B282" s="37"/>
      <c r="C282" s="37"/>
      <c r="D282" s="37"/>
    </row>
    <row r="283" spans="2:4" ht="15.75" customHeight="1" x14ac:dyDescent="0.25">
      <c r="B283" s="37"/>
      <c r="C283" s="37"/>
      <c r="D283" s="37"/>
    </row>
    <row r="284" spans="2:4" ht="15.75" customHeight="1" x14ac:dyDescent="0.25">
      <c r="B284" s="37"/>
      <c r="C284" s="37"/>
      <c r="D284" s="37"/>
    </row>
    <row r="285" spans="2:4" ht="15.75" customHeight="1" x14ac:dyDescent="0.25">
      <c r="B285" s="37"/>
      <c r="C285" s="37"/>
      <c r="D285" s="37"/>
    </row>
    <row r="286" spans="2:4" ht="15.75" customHeight="1" x14ac:dyDescent="0.25">
      <c r="B286" s="37"/>
      <c r="C286" s="37"/>
      <c r="D286" s="37"/>
    </row>
    <row r="287" spans="2:4" ht="15.75" customHeight="1" x14ac:dyDescent="0.25">
      <c r="B287" s="37"/>
      <c r="C287" s="37"/>
      <c r="D287" s="37"/>
    </row>
    <row r="288" spans="2:4" ht="15.75" customHeight="1" x14ac:dyDescent="0.25">
      <c r="B288" s="37"/>
      <c r="C288" s="37"/>
      <c r="D288" s="37"/>
    </row>
    <row r="289" spans="2:4" ht="15.75" customHeight="1" x14ac:dyDescent="0.25">
      <c r="B289" s="37"/>
      <c r="C289" s="37"/>
      <c r="D289" s="37"/>
    </row>
    <row r="290" spans="2:4" ht="15.75" customHeight="1" x14ac:dyDescent="0.25">
      <c r="B290" s="37"/>
      <c r="C290" s="37"/>
      <c r="D290" s="37"/>
    </row>
    <row r="291" spans="2:4" ht="15.75" customHeight="1" x14ac:dyDescent="0.25">
      <c r="B291" s="37"/>
      <c r="C291" s="37"/>
      <c r="D291" s="37"/>
    </row>
    <row r="292" spans="2:4" ht="15.75" customHeight="1" x14ac:dyDescent="0.25">
      <c r="B292" s="37"/>
      <c r="C292" s="37"/>
      <c r="D292" s="37"/>
    </row>
    <row r="293" spans="2:4" ht="15.75" customHeight="1" x14ac:dyDescent="0.25">
      <c r="B293" s="37"/>
      <c r="C293" s="37"/>
      <c r="D293" s="37"/>
    </row>
    <row r="294" spans="2:4" ht="15.75" customHeight="1" x14ac:dyDescent="0.25">
      <c r="B294" s="37"/>
      <c r="C294" s="37"/>
      <c r="D294" s="37"/>
    </row>
    <row r="295" spans="2:4" ht="15.75" customHeight="1" x14ac:dyDescent="0.25">
      <c r="B295" s="37"/>
      <c r="C295" s="37"/>
      <c r="D295" s="37"/>
    </row>
    <row r="296" spans="2:4" ht="15.75" customHeight="1" x14ac:dyDescent="0.25">
      <c r="B296" s="37"/>
      <c r="C296" s="37"/>
      <c r="D296" s="37"/>
    </row>
    <row r="297" spans="2:4" ht="15.75" customHeight="1" x14ac:dyDescent="0.25">
      <c r="B297" s="37"/>
      <c r="C297" s="37"/>
      <c r="D297" s="37"/>
    </row>
    <row r="298" spans="2:4" ht="15.75" customHeight="1" x14ac:dyDescent="0.25">
      <c r="B298" s="37"/>
      <c r="C298" s="37"/>
      <c r="D298" s="37"/>
    </row>
    <row r="299" spans="2:4" ht="15.75" customHeight="1" x14ac:dyDescent="0.25">
      <c r="B299" s="37"/>
      <c r="C299" s="37"/>
      <c r="D299" s="37"/>
    </row>
    <row r="300" spans="2:4" ht="15.75" customHeight="1" x14ac:dyDescent="0.25">
      <c r="B300" s="37"/>
      <c r="C300" s="37"/>
      <c r="D300" s="37"/>
    </row>
    <row r="301" spans="2:4" ht="15.75" customHeight="1" x14ac:dyDescent="0.25">
      <c r="B301" s="37"/>
      <c r="C301" s="37"/>
      <c r="D301" s="37"/>
    </row>
    <row r="302" spans="2:4" ht="15.75" customHeight="1" x14ac:dyDescent="0.25">
      <c r="B302" s="37"/>
      <c r="C302" s="37"/>
      <c r="D302" s="37"/>
    </row>
    <row r="303" spans="2:4" ht="15.75" customHeight="1" x14ac:dyDescent="0.25">
      <c r="B303" s="37"/>
      <c r="C303" s="37"/>
      <c r="D303" s="37"/>
    </row>
    <row r="304" spans="2:4" ht="15.75" customHeight="1" x14ac:dyDescent="0.25">
      <c r="B304" s="37"/>
      <c r="C304" s="37"/>
      <c r="D304" s="37"/>
    </row>
    <row r="305" spans="2:4" ht="15.75" customHeight="1" x14ac:dyDescent="0.25">
      <c r="B305" s="37"/>
      <c r="C305" s="37"/>
      <c r="D305" s="37"/>
    </row>
    <row r="306" spans="2:4" ht="15.75" customHeight="1" x14ac:dyDescent="0.25">
      <c r="B306" s="37"/>
      <c r="C306" s="37"/>
      <c r="D306" s="37"/>
    </row>
    <row r="307" spans="2:4" ht="15.75" customHeight="1" x14ac:dyDescent="0.25">
      <c r="B307" s="37"/>
      <c r="C307" s="37"/>
      <c r="D307" s="37"/>
    </row>
    <row r="308" spans="2:4" ht="15.75" customHeight="1" x14ac:dyDescent="0.25">
      <c r="B308" s="37"/>
      <c r="C308" s="37"/>
      <c r="D308" s="37"/>
    </row>
    <row r="309" spans="2:4" ht="15.75" customHeight="1" x14ac:dyDescent="0.25">
      <c r="B309" s="37"/>
      <c r="C309" s="37"/>
      <c r="D309" s="37"/>
    </row>
    <row r="310" spans="2:4" ht="15.75" customHeight="1" x14ac:dyDescent="0.25">
      <c r="B310" s="37"/>
      <c r="C310" s="37"/>
      <c r="D310" s="37"/>
    </row>
    <row r="311" spans="2:4" ht="15.75" customHeight="1" x14ac:dyDescent="0.25">
      <c r="B311" s="37"/>
      <c r="C311" s="37"/>
      <c r="D311" s="37"/>
    </row>
    <row r="312" spans="2:4" ht="15.75" customHeight="1" x14ac:dyDescent="0.25">
      <c r="B312" s="37"/>
      <c r="C312" s="37"/>
      <c r="D312" s="37"/>
    </row>
    <row r="313" spans="2:4" ht="15.75" customHeight="1" x14ac:dyDescent="0.25">
      <c r="B313" s="37"/>
      <c r="C313" s="37"/>
      <c r="D313" s="37"/>
    </row>
    <row r="314" spans="2:4" ht="15.75" customHeight="1" x14ac:dyDescent="0.25">
      <c r="B314" s="37"/>
      <c r="C314" s="37"/>
      <c r="D314" s="37"/>
    </row>
    <row r="315" spans="2:4" ht="15.75" customHeight="1" x14ac:dyDescent="0.25">
      <c r="B315" s="37"/>
      <c r="C315" s="37"/>
      <c r="D315" s="37"/>
    </row>
    <row r="316" spans="2:4" ht="15.75" customHeight="1" x14ac:dyDescent="0.25">
      <c r="B316" s="37"/>
      <c r="C316" s="37"/>
      <c r="D316" s="37"/>
    </row>
    <row r="317" spans="2:4" ht="15.75" customHeight="1" x14ac:dyDescent="0.25">
      <c r="B317" s="37"/>
      <c r="C317" s="37"/>
      <c r="D317" s="37"/>
    </row>
    <row r="318" spans="2:4" ht="15.75" customHeight="1" x14ac:dyDescent="0.25">
      <c r="B318" s="37"/>
      <c r="C318" s="37"/>
      <c r="D318" s="37"/>
    </row>
    <row r="319" spans="2:4" ht="15.75" customHeight="1" x14ac:dyDescent="0.25">
      <c r="B319" s="37"/>
      <c r="C319" s="37"/>
      <c r="D319" s="37"/>
    </row>
    <row r="320" spans="2:4" ht="15.75" customHeight="1" x14ac:dyDescent="0.25">
      <c r="B320" s="37"/>
      <c r="C320" s="37"/>
      <c r="D320" s="37"/>
    </row>
    <row r="321" spans="2:4" ht="15.75" customHeight="1" x14ac:dyDescent="0.25">
      <c r="B321" s="37"/>
      <c r="C321" s="37"/>
      <c r="D321" s="37"/>
    </row>
    <row r="322" spans="2:4" ht="15.75" customHeight="1" x14ac:dyDescent="0.25">
      <c r="B322" s="37"/>
      <c r="C322" s="37"/>
      <c r="D322" s="37"/>
    </row>
    <row r="323" spans="2:4" ht="15.75" customHeight="1" x14ac:dyDescent="0.25">
      <c r="B323" s="37"/>
      <c r="C323" s="37"/>
      <c r="D323" s="37"/>
    </row>
    <row r="324" spans="2:4" ht="15.75" customHeight="1" x14ac:dyDescent="0.25">
      <c r="B324" s="37"/>
      <c r="C324" s="37"/>
      <c r="D324" s="37"/>
    </row>
    <row r="325" spans="2:4" ht="15.75" customHeight="1" x14ac:dyDescent="0.25">
      <c r="B325" s="37"/>
      <c r="C325" s="37"/>
      <c r="D325" s="37"/>
    </row>
    <row r="326" spans="2:4" ht="15.75" customHeight="1" x14ac:dyDescent="0.25">
      <c r="B326" s="37"/>
      <c r="C326" s="37"/>
      <c r="D326" s="37"/>
    </row>
    <row r="327" spans="2:4" ht="15.75" customHeight="1" x14ac:dyDescent="0.25">
      <c r="B327" s="37"/>
      <c r="C327" s="37"/>
      <c r="D327" s="37"/>
    </row>
    <row r="328" spans="2:4" ht="15.75" customHeight="1" x14ac:dyDescent="0.25">
      <c r="B328" s="37"/>
      <c r="C328" s="37"/>
      <c r="D328" s="37"/>
    </row>
    <row r="329" spans="2:4" ht="15.75" customHeight="1" x14ac:dyDescent="0.25">
      <c r="B329" s="37"/>
      <c r="C329" s="37"/>
      <c r="D329" s="37"/>
    </row>
    <row r="330" spans="2:4" ht="15.75" customHeight="1" x14ac:dyDescent="0.25">
      <c r="B330" s="37"/>
      <c r="C330" s="37"/>
      <c r="D330" s="37"/>
    </row>
    <row r="331" spans="2:4" ht="15.75" customHeight="1" x14ac:dyDescent="0.25">
      <c r="B331" s="37"/>
      <c r="C331" s="37"/>
      <c r="D331" s="37"/>
    </row>
    <row r="332" spans="2:4" ht="15.75" customHeight="1" x14ac:dyDescent="0.25">
      <c r="B332" s="37"/>
      <c r="C332" s="37"/>
      <c r="D332" s="37"/>
    </row>
    <row r="333" spans="2:4" ht="15.75" customHeight="1" x14ac:dyDescent="0.25">
      <c r="B333" s="37"/>
      <c r="C333" s="37"/>
      <c r="D333" s="37"/>
    </row>
    <row r="334" spans="2:4" ht="15.75" customHeight="1" x14ac:dyDescent="0.25">
      <c r="B334" s="37"/>
      <c r="C334" s="37"/>
      <c r="D334" s="37"/>
    </row>
    <row r="335" spans="2:4" ht="15.75" customHeight="1" x14ac:dyDescent="0.25">
      <c r="B335" s="37"/>
      <c r="C335" s="37"/>
      <c r="D335" s="37"/>
    </row>
    <row r="336" spans="2:4" ht="15.75" customHeight="1" x14ac:dyDescent="0.25">
      <c r="B336" s="37"/>
      <c r="C336" s="37"/>
      <c r="D336" s="37"/>
    </row>
    <row r="337" spans="2:4" ht="15.75" customHeight="1" x14ac:dyDescent="0.25">
      <c r="B337" s="37"/>
      <c r="C337" s="37"/>
      <c r="D337" s="37"/>
    </row>
    <row r="338" spans="2:4" ht="15.75" customHeight="1" x14ac:dyDescent="0.25">
      <c r="B338" s="37"/>
      <c r="C338" s="37"/>
      <c r="D338" s="37"/>
    </row>
    <row r="339" spans="2:4" ht="15.75" customHeight="1" x14ac:dyDescent="0.25">
      <c r="B339" s="37"/>
      <c r="C339" s="37"/>
      <c r="D339" s="37"/>
    </row>
    <row r="340" spans="2:4" ht="15.75" customHeight="1" x14ac:dyDescent="0.25">
      <c r="B340" s="37"/>
      <c r="C340" s="37"/>
      <c r="D340" s="37"/>
    </row>
    <row r="341" spans="2:4" ht="15.75" customHeight="1" x14ac:dyDescent="0.25">
      <c r="B341" s="37"/>
      <c r="C341" s="37"/>
      <c r="D341" s="37"/>
    </row>
    <row r="342" spans="2:4" ht="15.75" customHeight="1" x14ac:dyDescent="0.25">
      <c r="B342" s="37"/>
      <c r="C342" s="37"/>
      <c r="D342" s="37"/>
    </row>
    <row r="343" spans="2:4" ht="15.75" customHeight="1" x14ac:dyDescent="0.25">
      <c r="B343" s="37"/>
      <c r="C343" s="37"/>
      <c r="D343" s="37"/>
    </row>
    <row r="344" spans="2:4" ht="15.75" customHeight="1" x14ac:dyDescent="0.25">
      <c r="B344" s="37"/>
      <c r="C344" s="37"/>
      <c r="D344" s="37"/>
    </row>
    <row r="345" spans="2:4" ht="15.75" customHeight="1" x14ac:dyDescent="0.25">
      <c r="B345" s="37"/>
      <c r="C345" s="37"/>
      <c r="D345" s="37"/>
    </row>
    <row r="346" spans="2:4" ht="15.75" customHeight="1" x14ac:dyDescent="0.25">
      <c r="B346" s="37"/>
      <c r="C346" s="37"/>
      <c r="D346" s="37"/>
    </row>
    <row r="347" spans="2:4" ht="15.75" customHeight="1" x14ac:dyDescent="0.25">
      <c r="B347" s="37"/>
      <c r="C347" s="37"/>
      <c r="D347" s="37"/>
    </row>
    <row r="348" spans="2:4" ht="15.75" customHeight="1" x14ac:dyDescent="0.25">
      <c r="B348" s="37"/>
      <c r="C348" s="37"/>
      <c r="D348" s="37"/>
    </row>
    <row r="349" spans="2:4" ht="15.75" customHeight="1" x14ac:dyDescent="0.25">
      <c r="B349" s="37"/>
      <c r="C349" s="37"/>
      <c r="D349" s="37"/>
    </row>
    <row r="350" spans="2:4" ht="15.75" customHeight="1" x14ac:dyDescent="0.25">
      <c r="B350" s="37"/>
      <c r="C350" s="37"/>
      <c r="D350" s="37"/>
    </row>
    <row r="351" spans="2:4" ht="15.75" customHeight="1" x14ac:dyDescent="0.25">
      <c r="B351" s="37"/>
      <c r="C351" s="37"/>
      <c r="D351" s="37"/>
    </row>
    <row r="352" spans="2:4" ht="15.75" customHeight="1" x14ac:dyDescent="0.25">
      <c r="B352" s="37"/>
      <c r="C352" s="37"/>
      <c r="D352" s="37"/>
    </row>
    <row r="353" spans="2:4" ht="15.75" customHeight="1" x14ac:dyDescent="0.25">
      <c r="B353" s="37"/>
      <c r="C353" s="37"/>
      <c r="D353" s="37"/>
    </row>
    <row r="354" spans="2:4" ht="15.75" customHeight="1" x14ac:dyDescent="0.25">
      <c r="B354" s="37"/>
      <c r="C354" s="37"/>
      <c r="D354" s="37"/>
    </row>
    <row r="355" spans="2:4" ht="15.75" customHeight="1" x14ac:dyDescent="0.25">
      <c r="B355" s="37"/>
      <c r="C355" s="37"/>
      <c r="D355" s="37"/>
    </row>
    <row r="356" spans="2:4" ht="15.75" customHeight="1" x14ac:dyDescent="0.25">
      <c r="B356" s="37"/>
      <c r="C356" s="37"/>
      <c r="D356" s="37"/>
    </row>
    <row r="357" spans="2:4" ht="15.75" customHeight="1" x14ac:dyDescent="0.25">
      <c r="B357" s="37"/>
      <c r="C357" s="37"/>
      <c r="D357" s="37"/>
    </row>
    <row r="358" spans="2:4" ht="15.75" customHeight="1" x14ac:dyDescent="0.25">
      <c r="B358" s="37"/>
      <c r="C358" s="37"/>
      <c r="D358" s="37"/>
    </row>
    <row r="359" spans="2:4" ht="15.75" customHeight="1" x14ac:dyDescent="0.25">
      <c r="B359" s="37"/>
      <c r="C359" s="37"/>
      <c r="D359" s="37"/>
    </row>
    <row r="360" spans="2:4" ht="15.75" customHeight="1" x14ac:dyDescent="0.25">
      <c r="B360" s="37"/>
      <c r="C360" s="37"/>
      <c r="D360" s="37"/>
    </row>
    <row r="361" spans="2:4" ht="15.75" customHeight="1" x14ac:dyDescent="0.25">
      <c r="B361" s="37"/>
      <c r="C361" s="37"/>
      <c r="D361" s="37"/>
    </row>
    <row r="362" spans="2:4" ht="15.75" customHeight="1" x14ac:dyDescent="0.25">
      <c r="B362" s="37"/>
      <c r="C362" s="37"/>
      <c r="D362" s="37"/>
    </row>
    <row r="363" spans="2:4" ht="15.75" customHeight="1" x14ac:dyDescent="0.25">
      <c r="B363" s="37"/>
      <c r="C363" s="37"/>
      <c r="D363" s="37"/>
    </row>
    <row r="364" spans="2:4" ht="15.75" customHeight="1" x14ac:dyDescent="0.25">
      <c r="B364" s="37"/>
      <c r="C364" s="37"/>
      <c r="D364" s="37"/>
    </row>
    <row r="365" spans="2:4" ht="15.75" customHeight="1" x14ac:dyDescent="0.25">
      <c r="B365" s="37"/>
      <c r="C365" s="37"/>
      <c r="D365" s="37"/>
    </row>
    <row r="366" spans="2:4" ht="15.75" customHeight="1" x14ac:dyDescent="0.25">
      <c r="B366" s="37"/>
      <c r="C366" s="37"/>
      <c r="D366" s="37"/>
    </row>
    <row r="367" spans="2:4" ht="15.75" customHeight="1" x14ac:dyDescent="0.25">
      <c r="B367" s="37"/>
      <c r="C367" s="37"/>
      <c r="D367" s="37"/>
    </row>
    <row r="368" spans="2:4" ht="15.75" customHeight="1" x14ac:dyDescent="0.25">
      <c r="B368" s="37"/>
      <c r="C368" s="37"/>
      <c r="D368" s="37"/>
    </row>
    <row r="369" spans="2:4" ht="15.75" customHeight="1" x14ac:dyDescent="0.25">
      <c r="B369" s="37"/>
      <c r="C369" s="37"/>
      <c r="D369" s="37"/>
    </row>
    <row r="370" spans="2:4" ht="15.75" customHeight="1" x14ac:dyDescent="0.25">
      <c r="B370" s="37"/>
      <c r="C370" s="37"/>
      <c r="D370" s="37"/>
    </row>
    <row r="371" spans="2:4" ht="15.75" customHeight="1" x14ac:dyDescent="0.25">
      <c r="B371" s="37"/>
      <c r="C371" s="37"/>
      <c r="D371" s="37"/>
    </row>
    <row r="372" spans="2:4" ht="15.75" customHeight="1" x14ac:dyDescent="0.25">
      <c r="B372" s="37"/>
      <c r="C372" s="37"/>
      <c r="D372" s="37"/>
    </row>
    <row r="373" spans="2:4" ht="15.75" customHeight="1" x14ac:dyDescent="0.25">
      <c r="B373" s="37"/>
      <c r="C373" s="37"/>
      <c r="D373" s="37"/>
    </row>
    <row r="374" spans="2:4" ht="15.75" customHeight="1" x14ac:dyDescent="0.25">
      <c r="B374" s="37"/>
      <c r="C374" s="37"/>
      <c r="D374" s="37"/>
    </row>
    <row r="375" spans="2:4" ht="15.75" customHeight="1" x14ac:dyDescent="0.25">
      <c r="B375" s="37"/>
      <c r="C375" s="37"/>
      <c r="D375" s="37"/>
    </row>
    <row r="376" spans="2:4" ht="15.75" customHeight="1" x14ac:dyDescent="0.25">
      <c r="B376" s="37"/>
      <c r="C376" s="37"/>
      <c r="D376" s="37"/>
    </row>
    <row r="377" spans="2:4" ht="15.75" customHeight="1" x14ac:dyDescent="0.25">
      <c r="B377" s="37"/>
      <c r="C377" s="37"/>
      <c r="D377" s="37"/>
    </row>
    <row r="378" spans="2:4" ht="15.75" customHeight="1" x14ac:dyDescent="0.25">
      <c r="B378" s="37"/>
      <c r="C378" s="37"/>
      <c r="D378" s="37"/>
    </row>
    <row r="379" spans="2:4" ht="15.75" customHeight="1" x14ac:dyDescent="0.25">
      <c r="B379" s="37"/>
      <c r="C379" s="37"/>
      <c r="D379" s="37"/>
    </row>
    <row r="380" spans="2:4" ht="15.75" customHeight="1" x14ac:dyDescent="0.25">
      <c r="B380" s="37"/>
      <c r="C380" s="37"/>
      <c r="D380" s="37"/>
    </row>
    <row r="381" spans="2:4" ht="15.75" customHeight="1" x14ac:dyDescent="0.25">
      <c r="B381" s="37"/>
      <c r="C381" s="37"/>
      <c r="D381" s="37"/>
    </row>
    <row r="382" spans="2:4" ht="15.75" customHeight="1" x14ac:dyDescent="0.25">
      <c r="B382" s="37"/>
      <c r="C382" s="37"/>
      <c r="D382" s="37"/>
    </row>
    <row r="383" spans="2:4" ht="15.75" customHeight="1" x14ac:dyDescent="0.25">
      <c r="B383" s="37"/>
      <c r="C383" s="37"/>
      <c r="D383" s="37"/>
    </row>
    <row r="384" spans="2:4" ht="15.75" customHeight="1" x14ac:dyDescent="0.25">
      <c r="B384" s="37"/>
      <c r="C384" s="37"/>
      <c r="D384" s="37"/>
    </row>
    <row r="385" spans="2:4" ht="15.75" customHeight="1" x14ac:dyDescent="0.25">
      <c r="B385" s="37"/>
      <c r="C385" s="37"/>
      <c r="D385" s="37"/>
    </row>
    <row r="386" spans="2:4" ht="15.75" customHeight="1" x14ac:dyDescent="0.25">
      <c r="B386" s="37"/>
      <c r="C386" s="37"/>
      <c r="D386" s="37"/>
    </row>
    <row r="387" spans="2:4" ht="15.75" customHeight="1" x14ac:dyDescent="0.25">
      <c r="B387" s="37"/>
      <c r="C387" s="37"/>
      <c r="D387" s="37"/>
    </row>
    <row r="388" spans="2:4" ht="15.75" customHeight="1" x14ac:dyDescent="0.25">
      <c r="B388" s="37"/>
      <c r="C388" s="37"/>
      <c r="D388" s="37"/>
    </row>
    <row r="389" spans="2:4" ht="15.75" customHeight="1" x14ac:dyDescent="0.25">
      <c r="B389" s="37"/>
      <c r="C389" s="37"/>
      <c r="D389" s="37"/>
    </row>
    <row r="390" spans="2:4" ht="15.75" customHeight="1" x14ac:dyDescent="0.25">
      <c r="B390" s="37"/>
      <c r="C390" s="37"/>
      <c r="D390" s="37"/>
    </row>
    <row r="391" spans="2:4" ht="15.75" customHeight="1" x14ac:dyDescent="0.25">
      <c r="B391" s="37"/>
      <c r="C391" s="37"/>
      <c r="D391" s="37"/>
    </row>
    <row r="392" spans="2:4" ht="15.75" customHeight="1" x14ac:dyDescent="0.25">
      <c r="B392" s="37"/>
      <c r="C392" s="37"/>
      <c r="D392" s="37"/>
    </row>
    <row r="393" spans="2:4" ht="15.75" customHeight="1" x14ac:dyDescent="0.25">
      <c r="B393" s="37"/>
      <c r="C393" s="37"/>
      <c r="D393" s="37"/>
    </row>
    <row r="394" spans="2:4" ht="15.75" customHeight="1" x14ac:dyDescent="0.25">
      <c r="B394" s="37"/>
      <c r="C394" s="37"/>
      <c r="D394" s="37"/>
    </row>
    <row r="395" spans="2:4" ht="15.75" customHeight="1" x14ac:dyDescent="0.25">
      <c r="B395" s="37"/>
      <c r="C395" s="37"/>
      <c r="D395" s="37"/>
    </row>
    <row r="396" spans="2:4" ht="15.75" customHeight="1" x14ac:dyDescent="0.25">
      <c r="B396" s="37"/>
      <c r="C396" s="37"/>
      <c r="D396" s="37"/>
    </row>
    <row r="397" spans="2:4" ht="15.75" customHeight="1" x14ac:dyDescent="0.25">
      <c r="B397" s="37"/>
      <c r="C397" s="37"/>
      <c r="D397" s="37"/>
    </row>
    <row r="398" spans="2:4" ht="15.75" customHeight="1" x14ac:dyDescent="0.25">
      <c r="B398" s="37"/>
      <c r="C398" s="37"/>
      <c r="D398" s="37"/>
    </row>
    <row r="399" spans="2:4" ht="15.75" customHeight="1" x14ac:dyDescent="0.25">
      <c r="B399" s="37"/>
      <c r="C399" s="37"/>
      <c r="D399" s="37"/>
    </row>
    <row r="400" spans="2:4" ht="15.75" customHeight="1" x14ac:dyDescent="0.25">
      <c r="B400" s="37"/>
      <c r="C400" s="37"/>
      <c r="D400" s="37"/>
    </row>
    <row r="401" spans="2:4" ht="15.75" customHeight="1" x14ac:dyDescent="0.25">
      <c r="B401" s="37"/>
      <c r="C401" s="37"/>
      <c r="D401" s="37"/>
    </row>
    <row r="402" spans="2:4" ht="15.75" customHeight="1" x14ac:dyDescent="0.25">
      <c r="B402" s="37"/>
      <c r="C402" s="37"/>
      <c r="D402" s="37"/>
    </row>
    <row r="403" spans="2:4" ht="15.75" customHeight="1" x14ac:dyDescent="0.25">
      <c r="B403" s="37"/>
      <c r="C403" s="37"/>
      <c r="D403" s="37"/>
    </row>
    <row r="404" spans="2:4" ht="15.75" customHeight="1" x14ac:dyDescent="0.25">
      <c r="B404" s="37"/>
      <c r="C404" s="37"/>
      <c r="D404" s="37"/>
    </row>
    <row r="405" spans="2:4" ht="15.75" customHeight="1" x14ac:dyDescent="0.25">
      <c r="B405" s="37"/>
      <c r="C405" s="37"/>
      <c r="D405" s="37"/>
    </row>
    <row r="406" spans="2:4" ht="15.75" customHeight="1" x14ac:dyDescent="0.25">
      <c r="B406" s="37"/>
      <c r="C406" s="37"/>
      <c r="D406" s="37"/>
    </row>
    <row r="407" spans="2:4" ht="15.75" customHeight="1" x14ac:dyDescent="0.25">
      <c r="B407" s="37"/>
      <c r="C407" s="37"/>
      <c r="D407" s="37"/>
    </row>
    <row r="408" spans="2:4" ht="15.75" customHeight="1" x14ac:dyDescent="0.25">
      <c r="B408" s="37"/>
      <c r="C408" s="37"/>
      <c r="D408" s="37"/>
    </row>
    <row r="409" spans="2:4" ht="15.75" customHeight="1" x14ac:dyDescent="0.25">
      <c r="B409" s="37"/>
      <c r="C409" s="37"/>
      <c r="D409" s="37"/>
    </row>
    <row r="410" spans="2:4" ht="15.75" customHeight="1" x14ac:dyDescent="0.25">
      <c r="B410" s="37"/>
      <c r="C410" s="37"/>
      <c r="D410" s="37"/>
    </row>
    <row r="411" spans="2:4" ht="15.75" customHeight="1" x14ac:dyDescent="0.25">
      <c r="B411" s="37"/>
      <c r="C411" s="37"/>
      <c r="D411" s="37"/>
    </row>
    <row r="412" spans="2:4" ht="15.75" customHeight="1" x14ac:dyDescent="0.25">
      <c r="B412" s="37"/>
      <c r="C412" s="37"/>
      <c r="D412" s="37"/>
    </row>
    <row r="413" spans="2:4" ht="15.75" customHeight="1" x14ac:dyDescent="0.25">
      <c r="B413" s="37"/>
      <c r="C413" s="37"/>
      <c r="D413" s="37"/>
    </row>
    <row r="414" spans="2:4" ht="15.75" customHeight="1" x14ac:dyDescent="0.25">
      <c r="B414" s="37"/>
      <c r="C414" s="37"/>
      <c r="D414" s="37"/>
    </row>
    <row r="415" spans="2:4" ht="15.75" customHeight="1" x14ac:dyDescent="0.25">
      <c r="B415" s="37"/>
      <c r="C415" s="37"/>
      <c r="D415" s="37"/>
    </row>
    <row r="416" spans="2:4" ht="15.75" customHeight="1" x14ac:dyDescent="0.25">
      <c r="B416" s="37"/>
      <c r="C416" s="37"/>
      <c r="D416" s="37"/>
    </row>
    <row r="417" spans="2:4" ht="15.75" customHeight="1" x14ac:dyDescent="0.25">
      <c r="B417" s="37"/>
      <c r="C417" s="37"/>
      <c r="D417" s="37"/>
    </row>
    <row r="418" spans="2:4" ht="15.75" customHeight="1" x14ac:dyDescent="0.25">
      <c r="B418" s="37"/>
      <c r="C418" s="37"/>
      <c r="D418" s="37"/>
    </row>
    <row r="419" spans="2:4" ht="15.75" customHeight="1" x14ac:dyDescent="0.25">
      <c r="B419" s="37"/>
      <c r="C419" s="37"/>
      <c r="D419" s="37"/>
    </row>
    <row r="420" spans="2:4" ht="15.75" customHeight="1" x14ac:dyDescent="0.25">
      <c r="B420" s="37"/>
      <c r="C420" s="37"/>
      <c r="D420" s="37"/>
    </row>
    <row r="421" spans="2:4" ht="15.75" customHeight="1" x14ac:dyDescent="0.25">
      <c r="B421" s="37"/>
      <c r="C421" s="37"/>
      <c r="D421" s="37"/>
    </row>
    <row r="422" spans="2:4" ht="15.75" customHeight="1" x14ac:dyDescent="0.25">
      <c r="B422" s="37"/>
      <c r="C422" s="37"/>
      <c r="D422" s="37"/>
    </row>
    <row r="423" spans="2:4" ht="15.75" customHeight="1" x14ac:dyDescent="0.25">
      <c r="B423" s="37"/>
      <c r="C423" s="37"/>
      <c r="D423" s="37"/>
    </row>
    <row r="424" spans="2:4" ht="15.75" customHeight="1" x14ac:dyDescent="0.25">
      <c r="B424" s="37"/>
      <c r="C424" s="37"/>
      <c r="D424" s="37"/>
    </row>
    <row r="425" spans="2:4" ht="15.75" customHeight="1" x14ac:dyDescent="0.25">
      <c r="B425" s="37"/>
      <c r="C425" s="37"/>
      <c r="D425" s="37"/>
    </row>
    <row r="426" spans="2:4" ht="15.75" customHeight="1" x14ac:dyDescent="0.25">
      <c r="B426" s="37"/>
      <c r="C426" s="37"/>
      <c r="D426" s="37"/>
    </row>
    <row r="427" spans="2:4" ht="15.75" customHeight="1" x14ac:dyDescent="0.25">
      <c r="B427" s="37"/>
      <c r="C427" s="37"/>
      <c r="D427" s="37"/>
    </row>
    <row r="428" spans="2:4" ht="15.75" customHeight="1" x14ac:dyDescent="0.25">
      <c r="B428" s="37"/>
      <c r="C428" s="37"/>
      <c r="D428" s="37"/>
    </row>
    <row r="429" spans="2:4" ht="15.75" customHeight="1" x14ac:dyDescent="0.25">
      <c r="B429" s="37"/>
      <c r="C429" s="37"/>
      <c r="D429" s="37"/>
    </row>
    <row r="430" spans="2:4" ht="15.75" customHeight="1" x14ac:dyDescent="0.25">
      <c r="B430" s="37"/>
      <c r="C430" s="37"/>
      <c r="D430" s="37"/>
    </row>
    <row r="431" spans="2:4" ht="15.75" customHeight="1" x14ac:dyDescent="0.25">
      <c r="B431" s="37"/>
      <c r="C431" s="37"/>
      <c r="D431" s="37"/>
    </row>
    <row r="432" spans="2:4" ht="15.75" customHeight="1" x14ac:dyDescent="0.25">
      <c r="B432" s="37"/>
      <c r="C432" s="37"/>
      <c r="D432" s="37"/>
    </row>
    <row r="433" spans="2:4" ht="15.75" customHeight="1" x14ac:dyDescent="0.25">
      <c r="B433" s="37"/>
      <c r="C433" s="37"/>
      <c r="D433" s="37"/>
    </row>
    <row r="434" spans="2:4" ht="15.75" customHeight="1" x14ac:dyDescent="0.25">
      <c r="B434" s="37"/>
      <c r="C434" s="37"/>
      <c r="D434" s="37"/>
    </row>
    <row r="435" spans="2:4" ht="15.75" customHeight="1" x14ac:dyDescent="0.25">
      <c r="B435" s="37"/>
      <c r="C435" s="37"/>
      <c r="D435" s="37"/>
    </row>
    <row r="436" spans="2:4" ht="15.75" customHeight="1" x14ac:dyDescent="0.25">
      <c r="B436" s="37"/>
      <c r="C436" s="37"/>
      <c r="D436" s="37"/>
    </row>
    <row r="437" spans="2:4" ht="15.75" customHeight="1" x14ac:dyDescent="0.25">
      <c r="B437" s="37"/>
      <c r="C437" s="37"/>
      <c r="D437" s="37"/>
    </row>
    <row r="438" spans="2:4" ht="15.75" customHeight="1" x14ac:dyDescent="0.25">
      <c r="B438" s="37"/>
      <c r="C438" s="37"/>
      <c r="D438" s="37"/>
    </row>
    <row r="439" spans="2:4" ht="15.75" customHeight="1" x14ac:dyDescent="0.25">
      <c r="B439" s="37"/>
      <c r="C439" s="37"/>
      <c r="D439" s="37"/>
    </row>
    <row r="440" spans="2:4" ht="15.75" customHeight="1" x14ac:dyDescent="0.25">
      <c r="B440" s="37"/>
      <c r="C440" s="37"/>
      <c r="D440" s="37"/>
    </row>
    <row r="441" spans="2:4" ht="15.75" customHeight="1" x14ac:dyDescent="0.25">
      <c r="B441" s="37"/>
      <c r="C441" s="37"/>
      <c r="D441" s="37"/>
    </row>
    <row r="442" spans="2:4" ht="15.75" customHeight="1" x14ac:dyDescent="0.25">
      <c r="B442" s="37"/>
      <c r="C442" s="37"/>
      <c r="D442" s="37"/>
    </row>
    <row r="443" spans="2:4" ht="15.75" customHeight="1" x14ac:dyDescent="0.25">
      <c r="B443" s="37"/>
      <c r="C443" s="37"/>
      <c r="D443" s="37"/>
    </row>
    <row r="444" spans="2:4" ht="15.75" customHeight="1" x14ac:dyDescent="0.25">
      <c r="B444" s="37"/>
      <c r="C444" s="37"/>
      <c r="D444" s="37"/>
    </row>
    <row r="445" spans="2:4" ht="15.75" customHeight="1" x14ac:dyDescent="0.25">
      <c r="B445" s="37"/>
      <c r="C445" s="37"/>
      <c r="D445" s="37"/>
    </row>
    <row r="446" spans="2:4" ht="15.75" customHeight="1" x14ac:dyDescent="0.25">
      <c r="B446" s="37"/>
      <c r="C446" s="37"/>
      <c r="D446" s="37"/>
    </row>
    <row r="447" spans="2:4" ht="15.75" customHeight="1" x14ac:dyDescent="0.25">
      <c r="B447" s="37"/>
      <c r="C447" s="37"/>
      <c r="D447" s="37"/>
    </row>
    <row r="448" spans="2:4" ht="15.75" customHeight="1" x14ac:dyDescent="0.25">
      <c r="B448" s="37"/>
      <c r="C448" s="37"/>
      <c r="D448" s="37"/>
    </row>
    <row r="449" spans="2:4" ht="15.75" customHeight="1" x14ac:dyDescent="0.25">
      <c r="B449" s="37"/>
      <c r="C449" s="37"/>
      <c r="D449" s="37"/>
    </row>
    <row r="450" spans="2:4" ht="15.75" customHeight="1" x14ac:dyDescent="0.25">
      <c r="B450" s="37"/>
      <c r="C450" s="37"/>
      <c r="D450" s="37"/>
    </row>
    <row r="451" spans="2:4" ht="15.75" customHeight="1" x14ac:dyDescent="0.25">
      <c r="B451" s="37"/>
      <c r="C451" s="37"/>
      <c r="D451" s="37"/>
    </row>
    <row r="452" spans="2:4" ht="15.75" customHeight="1" x14ac:dyDescent="0.25">
      <c r="B452" s="37"/>
      <c r="C452" s="37"/>
      <c r="D452" s="37"/>
    </row>
    <row r="453" spans="2:4" ht="15.75" customHeight="1" x14ac:dyDescent="0.25">
      <c r="B453" s="37"/>
      <c r="C453" s="37"/>
      <c r="D453" s="37"/>
    </row>
    <row r="454" spans="2:4" ht="15.75" customHeight="1" x14ac:dyDescent="0.25">
      <c r="B454" s="37"/>
      <c r="C454" s="37"/>
      <c r="D454" s="37"/>
    </row>
    <row r="455" spans="2:4" ht="15.75" customHeight="1" x14ac:dyDescent="0.25">
      <c r="B455" s="37"/>
      <c r="C455" s="37"/>
      <c r="D455" s="37"/>
    </row>
    <row r="456" spans="2:4" ht="15.75" customHeight="1" x14ac:dyDescent="0.25">
      <c r="B456" s="37"/>
      <c r="C456" s="37"/>
      <c r="D456" s="37"/>
    </row>
    <row r="457" spans="2:4" ht="15.75" customHeight="1" x14ac:dyDescent="0.25">
      <c r="B457" s="37"/>
      <c r="C457" s="37"/>
      <c r="D457" s="37"/>
    </row>
    <row r="458" spans="2:4" ht="15.75" customHeight="1" x14ac:dyDescent="0.25">
      <c r="B458" s="37"/>
      <c r="C458" s="37"/>
      <c r="D458" s="37"/>
    </row>
    <row r="459" spans="2:4" ht="15.75" customHeight="1" x14ac:dyDescent="0.25">
      <c r="B459" s="37"/>
      <c r="C459" s="37"/>
      <c r="D459" s="37"/>
    </row>
    <row r="460" spans="2:4" ht="15.75" customHeight="1" x14ac:dyDescent="0.25">
      <c r="B460" s="37"/>
      <c r="C460" s="37"/>
      <c r="D460" s="37"/>
    </row>
    <row r="461" spans="2:4" ht="15.75" customHeight="1" x14ac:dyDescent="0.25">
      <c r="B461" s="37"/>
      <c r="C461" s="37"/>
      <c r="D461" s="37"/>
    </row>
    <row r="462" spans="2:4" ht="15.75" customHeight="1" x14ac:dyDescent="0.25">
      <c r="B462" s="37"/>
      <c r="C462" s="37"/>
      <c r="D462" s="37"/>
    </row>
    <row r="463" spans="2:4" ht="15.75" customHeight="1" x14ac:dyDescent="0.25">
      <c r="B463" s="37"/>
      <c r="C463" s="37"/>
      <c r="D463" s="37"/>
    </row>
    <row r="464" spans="2:4" ht="15.75" customHeight="1" x14ac:dyDescent="0.25">
      <c r="B464" s="37"/>
      <c r="C464" s="37"/>
      <c r="D464" s="37"/>
    </row>
    <row r="465" spans="2:4" ht="15.75" customHeight="1" x14ac:dyDescent="0.25">
      <c r="B465" s="37"/>
      <c r="C465" s="37"/>
      <c r="D465" s="37"/>
    </row>
    <row r="466" spans="2:4" ht="15.75" customHeight="1" x14ac:dyDescent="0.25">
      <c r="B466" s="37"/>
      <c r="C466" s="37"/>
      <c r="D466" s="37"/>
    </row>
    <row r="467" spans="2:4" ht="15.75" customHeight="1" x14ac:dyDescent="0.25">
      <c r="B467" s="37"/>
      <c r="C467" s="37"/>
      <c r="D467" s="37"/>
    </row>
    <row r="468" spans="2:4" ht="15.75" customHeight="1" x14ac:dyDescent="0.25">
      <c r="B468" s="37"/>
      <c r="C468" s="37"/>
      <c r="D468" s="37"/>
    </row>
    <row r="469" spans="2:4" ht="15.75" customHeight="1" x14ac:dyDescent="0.25">
      <c r="B469" s="37"/>
      <c r="C469" s="37"/>
      <c r="D469" s="37"/>
    </row>
    <row r="470" spans="2:4" ht="15.75" customHeight="1" x14ac:dyDescent="0.25">
      <c r="B470" s="37"/>
      <c r="C470" s="37"/>
      <c r="D470" s="37"/>
    </row>
    <row r="471" spans="2:4" ht="15.75" customHeight="1" x14ac:dyDescent="0.25">
      <c r="B471" s="37"/>
      <c r="C471" s="37"/>
      <c r="D471" s="37"/>
    </row>
    <row r="472" spans="2:4" ht="15.75" customHeight="1" x14ac:dyDescent="0.25">
      <c r="B472" s="37"/>
      <c r="C472" s="37"/>
      <c r="D472" s="37"/>
    </row>
    <row r="473" spans="2:4" ht="15.75" customHeight="1" x14ac:dyDescent="0.25">
      <c r="B473" s="37"/>
      <c r="C473" s="37"/>
      <c r="D473" s="37"/>
    </row>
    <row r="474" spans="2:4" ht="15.75" customHeight="1" x14ac:dyDescent="0.25">
      <c r="B474" s="37"/>
      <c r="C474" s="37"/>
      <c r="D474" s="37"/>
    </row>
    <row r="475" spans="2:4" ht="15.75" customHeight="1" x14ac:dyDescent="0.25">
      <c r="B475" s="37"/>
      <c r="C475" s="37"/>
      <c r="D475" s="37"/>
    </row>
    <row r="476" spans="2:4" ht="15.75" customHeight="1" x14ac:dyDescent="0.25">
      <c r="B476" s="37"/>
      <c r="C476" s="37"/>
      <c r="D476" s="37"/>
    </row>
    <row r="477" spans="2:4" ht="15.75" customHeight="1" x14ac:dyDescent="0.25">
      <c r="B477" s="37"/>
      <c r="C477" s="37"/>
      <c r="D477" s="37"/>
    </row>
    <row r="478" spans="2:4" ht="15.75" customHeight="1" x14ac:dyDescent="0.25">
      <c r="B478" s="37"/>
      <c r="C478" s="37"/>
      <c r="D478" s="37"/>
    </row>
    <row r="479" spans="2:4" ht="15.75" customHeight="1" x14ac:dyDescent="0.25">
      <c r="B479" s="37"/>
      <c r="C479" s="37"/>
      <c r="D479" s="37"/>
    </row>
    <row r="480" spans="2:4" ht="15.75" customHeight="1" x14ac:dyDescent="0.25">
      <c r="B480" s="37"/>
      <c r="C480" s="37"/>
      <c r="D480" s="37"/>
    </row>
    <row r="481" spans="2:4" ht="15.75" customHeight="1" x14ac:dyDescent="0.25">
      <c r="B481" s="37"/>
      <c r="C481" s="37"/>
      <c r="D481" s="37"/>
    </row>
    <row r="482" spans="2:4" ht="15.75" customHeight="1" x14ac:dyDescent="0.25">
      <c r="B482" s="37"/>
      <c r="C482" s="37"/>
      <c r="D482" s="37"/>
    </row>
    <row r="483" spans="2:4" ht="15.75" customHeight="1" x14ac:dyDescent="0.25">
      <c r="B483" s="37"/>
      <c r="C483" s="37"/>
      <c r="D483" s="37"/>
    </row>
    <row r="484" spans="2:4" ht="15.75" customHeight="1" x14ac:dyDescent="0.25">
      <c r="B484" s="37"/>
      <c r="C484" s="37"/>
      <c r="D484" s="37"/>
    </row>
    <row r="485" spans="2:4" ht="15.75" customHeight="1" x14ac:dyDescent="0.25">
      <c r="B485" s="37"/>
      <c r="C485" s="37"/>
      <c r="D485" s="37"/>
    </row>
    <row r="486" spans="2:4" ht="15.75" customHeight="1" x14ac:dyDescent="0.25">
      <c r="B486" s="37"/>
      <c r="C486" s="37"/>
      <c r="D486" s="37"/>
    </row>
    <row r="487" spans="2:4" ht="15.75" customHeight="1" x14ac:dyDescent="0.25">
      <c r="B487" s="37"/>
      <c r="C487" s="37"/>
      <c r="D487" s="37"/>
    </row>
    <row r="488" spans="2:4" ht="15.75" customHeight="1" x14ac:dyDescent="0.25">
      <c r="B488" s="37"/>
      <c r="C488" s="37"/>
      <c r="D488" s="37"/>
    </row>
    <row r="489" spans="2:4" ht="15.75" customHeight="1" x14ac:dyDescent="0.25">
      <c r="B489" s="37"/>
      <c r="C489" s="37"/>
      <c r="D489" s="37"/>
    </row>
    <row r="490" spans="2:4" ht="15.75" customHeight="1" x14ac:dyDescent="0.25">
      <c r="B490" s="37"/>
      <c r="C490" s="37"/>
      <c r="D490" s="37"/>
    </row>
    <row r="491" spans="2:4" ht="15.75" customHeight="1" x14ac:dyDescent="0.25">
      <c r="B491" s="37"/>
      <c r="C491" s="37"/>
      <c r="D491" s="37"/>
    </row>
    <row r="492" spans="2:4" ht="15.75" customHeight="1" x14ac:dyDescent="0.25">
      <c r="B492" s="37"/>
      <c r="C492" s="37"/>
      <c r="D492" s="37"/>
    </row>
    <row r="493" spans="2:4" ht="15.75" customHeight="1" x14ac:dyDescent="0.25">
      <c r="B493" s="37"/>
      <c r="C493" s="37"/>
      <c r="D493" s="37"/>
    </row>
    <row r="494" spans="2:4" ht="15.75" customHeight="1" x14ac:dyDescent="0.25">
      <c r="B494" s="37"/>
      <c r="C494" s="37"/>
      <c r="D494" s="37"/>
    </row>
    <row r="495" spans="2:4" ht="15.75" customHeight="1" x14ac:dyDescent="0.25">
      <c r="B495" s="37"/>
      <c r="C495" s="37"/>
      <c r="D495" s="37"/>
    </row>
    <row r="496" spans="2:4" ht="15.75" customHeight="1" x14ac:dyDescent="0.25">
      <c r="B496" s="37"/>
      <c r="C496" s="37"/>
      <c r="D496" s="37"/>
    </row>
    <row r="497" spans="2:4" ht="15.75" customHeight="1" x14ac:dyDescent="0.25">
      <c r="B497" s="37"/>
      <c r="C497" s="37"/>
      <c r="D497" s="37"/>
    </row>
    <row r="498" spans="2:4" ht="15.75" customHeight="1" x14ac:dyDescent="0.25">
      <c r="B498" s="37"/>
      <c r="C498" s="37"/>
      <c r="D498" s="37"/>
    </row>
    <row r="499" spans="2:4" ht="15.75" customHeight="1" x14ac:dyDescent="0.25">
      <c r="B499" s="37"/>
      <c r="C499" s="37"/>
      <c r="D499" s="37"/>
    </row>
    <row r="500" spans="2:4" ht="15.75" customHeight="1" x14ac:dyDescent="0.25">
      <c r="B500" s="37"/>
      <c r="C500" s="37"/>
      <c r="D500" s="37"/>
    </row>
    <row r="501" spans="2:4" ht="15.75" customHeight="1" x14ac:dyDescent="0.25">
      <c r="B501" s="37"/>
      <c r="C501" s="37"/>
      <c r="D501" s="37"/>
    </row>
    <row r="502" spans="2:4" ht="15.75" customHeight="1" x14ac:dyDescent="0.25">
      <c r="B502" s="37"/>
      <c r="C502" s="37"/>
      <c r="D502" s="37"/>
    </row>
    <row r="503" spans="2:4" ht="15.75" customHeight="1" x14ac:dyDescent="0.25">
      <c r="B503" s="37"/>
      <c r="C503" s="37"/>
      <c r="D503" s="37"/>
    </row>
    <row r="504" spans="2:4" ht="15.75" customHeight="1" x14ac:dyDescent="0.25">
      <c r="B504" s="37"/>
      <c r="C504" s="37"/>
      <c r="D504" s="37"/>
    </row>
    <row r="505" spans="2:4" ht="15.75" customHeight="1" x14ac:dyDescent="0.25">
      <c r="B505" s="37"/>
      <c r="C505" s="37"/>
      <c r="D505" s="37"/>
    </row>
    <row r="506" spans="2:4" ht="15.75" customHeight="1" x14ac:dyDescent="0.25">
      <c r="B506" s="37"/>
      <c r="C506" s="37"/>
      <c r="D506" s="37"/>
    </row>
    <row r="507" spans="2:4" ht="15.75" customHeight="1" x14ac:dyDescent="0.25">
      <c r="B507" s="37"/>
      <c r="C507" s="37"/>
      <c r="D507" s="37"/>
    </row>
    <row r="508" spans="2:4" ht="15.75" customHeight="1" x14ac:dyDescent="0.25">
      <c r="B508" s="37"/>
      <c r="C508" s="37"/>
      <c r="D508" s="37"/>
    </row>
    <row r="509" spans="2:4" ht="15.75" customHeight="1" x14ac:dyDescent="0.25">
      <c r="B509" s="37"/>
      <c r="C509" s="37"/>
      <c r="D509" s="37"/>
    </row>
    <row r="510" spans="2:4" ht="15.75" customHeight="1" x14ac:dyDescent="0.25">
      <c r="B510" s="37"/>
      <c r="C510" s="37"/>
      <c r="D510" s="37"/>
    </row>
    <row r="511" spans="2:4" ht="15.75" customHeight="1" x14ac:dyDescent="0.25">
      <c r="B511" s="37"/>
      <c r="C511" s="37"/>
      <c r="D511" s="37"/>
    </row>
    <row r="512" spans="2:4" ht="15.75" customHeight="1" x14ac:dyDescent="0.25">
      <c r="B512" s="37"/>
      <c r="C512" s="37"/>
      <c r="D512" s="37"/>
    </row>
    <row r="513" spans="2:4" ht="15.75" customHeight="1" x14ac:dyDescent="0.25">
      <c r="B513" s="37"/>
      <c r="C513" s="37"/>
      <c r="D513" s="37"/>
    </row>
    <row r="514" spans="2:4" ht="15.75" customHeight="1" x14ac:dyDescent="0.25">
      <c r="B514" s="37"/>
      <c r="C514" s="37"/>
      <c r="D514" s="37"/>
    </row>
    <row r="515" spans="2:4" ht="15.75" customHeight="1" x14ac:dyDescent="0.25">
      <c r="B515" s="37"/>
      <c r="C515" s="37"/>
      <c r="D515" s="37"/>
    </row>
    <row r="516" spans="2:4" ht="15.75" customHeight="1" x14ac:dyDescent="0.25">
      <c r="B516" s="37"/>
      <c r="C516" s="37"/>
      <c r="D516" s="37"/>
    </row>
    <row r="517" spans="2:4" ht="15.75" customHeight="1" x14ac:dyDescent="0.25">
      <c r="B517" s="37"/>
      <c r="C517" s="37"/>
      <c r="D517" s="37"/>
    </row>
    <row r="518" spans="2:4" ht="15.75" customHeight="1" x14ac:dyDescent="0.25">
      <c r="B518" s="37"/>
      <c r="C518" s="37"/>
      <c r="D518" s="37"/>
    </row>
    <row r="519" spans="2:4" ht="15.75" customHeight="1" x14ac:dyDescent="0.25">
      <c r="B519" s="37"/>
      <c r="C519" s="37"/>
      <c r="D519" s="37"/>
    </row>
    <row r="520" spans="2:4" ht="15.75" customHeight="1" x14ac:dyDescent="0.25">
      <c r="B520" s="37"/>
      <c r="C520" s="37"/>
      <c r="D520" s="37"/>
    </row>
    <row r="521" spans="2:4" ht="15.75" customHeight="1" x14ac:dyDescent="0.25">
      <c r="B521" s="37"/>
      <c r="C521" s="37"/>
      <c r="D521" s="37"/>
    </row>
    <row r="522" spans="2:4" ht="15.75" customHeight="1" x14ac:dyDescent="0.25">
      <c r="B522" s="37"/>
      <c r="C522" s="37"/>
      <c r="D522" s="37"/>
    </row>
    <row r="523" spans="2:4" ht="15.75" customHeight="1" x14ac:dyDescent="0.25">
      <c r="B523" s="37"/>
      <c r="C523" s="37"/>
      <c r="D523" s="37"/>
    </row>
    <row r="524" spans="2:4" ht="15.75" customHeight="1" x14ac:dyDescent="0.25">
      <c r="B524" s="37"/>
      <c r="C524" s="37"/>
      <c r="D524" s="37"/>
    </row>
    <row r="525" spans="2:4" ht="15.75" customHeight="1" x14ac:dyDescent="0.25">
      <c r="B525" s="37"/>
      <c r="C525" s="37"/>
      <c r="D525" s="37"/>
    </row>
    <row r="526" spans="2:4" ht="15.75" customHeight="1" x14ac:dyDescent="0.25">
      <c r="B526" s="37"/>
      <c r="C526" s="37"/>
      <c r="D526" s="37"/>
    </row>
    <row r="527" spans="2:4" ht="15.75" customHeight="1" x14ac:dyDescent="0.25">
      <c r="B527" s="37"/>
      <c r="C527" s="37"/>
      <c r="D527" s="37"/>
    </row>
    <row r="528" spans="2:4" ht="15.75" customHeight="1" x14ac:dyDescent="0.25">
      <c r="B528" s="37"/>
      <c r="C528" s="37"/>
      <c r="D528" s="37"/>
    </row>
    <row r="529" spans="2:4" ht="15.75" customHeight="1" x14ac:dyDescent="0.25">
      <c r="B529" s="37"/>
      <c r="C529" s="37"/>
      <c r="D529" s="37"/>
    </row>
    <row r="530" spans="2:4" ht="15.75" customHeight="1" x14ac:dyDescent="0.25">
      <c r="B530" s="37"/>
      <c r="C530" s="37"/>
      <c r="D530" s="37"/>
    </row>
    <row r="531" spans="2:4" ht="15.75" customHeight="1" x14ac:dyDescent="0.25">
      <c r="B531" s="37"/>
      <c r="C531" s="37"/>
      <c r="D531" s="37"/>
    </row>
    <row r="532" spans="2:4" ht="15.75" customHeight="1" x14ac:dyDescent="0.25">
      <c r="B532" s="37"/>
      <c r="C532" s="37"/>
      <c r="D532" s="37"/>
    </row>
    <row r="533" spans="2:4" ht="15.75" customHeight="1" x14ac:dyDescent="0.25">
      <c r="B533" s="37"/>
      <c r="C533" s="37"/>
      <c r="D533" s="37"/>
    </row>
    <row r="534" spans="2:4" ht="15.75" customHeight="1" x14ac:dyDescent="0.25">
      <c r="B534" s="37"/>
      <c r="C534" s="37"/>
      <c r="D534" s="37"/>
    </row>
    <row r="535" spans="2:4" ht="15.75" customHeight="1" x14ac:dyDescent="0.25">
      <c r="B535" s="37"/>
      <c r="C535" s="37"/>
      <c r="D535" s="37"/>
    </row>
    <row r="536" spans="2:4" ht="15.75" customHeight="1" x14ac:dyDescent="0.25">
      <c r="B536" s="37"/>
      <c r="C536" s="37"/>
      <c r="D536" s="37"/>
    </row>
    <row r="537" spans="2:4" ht="15.75" customHeight="1" x14ac:dyDescent="0.25">
      <c r="B537" s="37"/>
      <c r="C537" s="37"/>
      <c r="D537" s="37"/>
    </row>
    <row r="538" spans="2:4" ht="15.75" customHeight="1" x14ac:dyDescent="0.25">
      <c r="B538" s="37"/>
      <c r="C538" s="37"/>
      <c r="D538" s="37"/>
    </row>
    <row r="539" spans="2:4" ht="15.75" customHeight="1" x14ac:dyDescent="0.25">
      <c r="B539" s="37"/>
      <c r="C539" s="37"/>
      <c r="D539" s="37"/>
    </row>
    <row r="540" spans="2:4" ht="15.75" customHeight="1" x14ac:dyDescent="0.25">
      <c r="B540" s="37"/>
      <c r="C540" s="37"/>
      <c r="D540" s="37"/>
    </row>
    <row r="541" spans="2:4" ht="15.75" customHeight="1" x14ac:dyDescent="0.25">
      <c r="B541" s="37"/>
      <c r="C541" s="37"/>
      <c r="D541" s="37"/>
    </row>
    <row r="542" spans="2:4" ht="15.75" customHeight="1" x14ac:dyDescent="0.25">
      <c r="B542" s="37"/>
      <c r="C542" s="37"/>
      <c r="D542" s="37"/>
    </row>
    <row r="543" spans="2:4" ht="15.75" customHeight="1" x14ac:dyDescent="0.25">
      <c r="B543" s="37"/>
      <c r="C543" s="37"/>
      <c r="D543" s="37"/>
    </row>
    <row r="544" spans="2:4" ht="15.75" customHeight="1" x14ac:dyDescent="0.25">
      <c r="B544" s="37"/>
      <c r="C544" s="37"/>
      <c r="D544" s="37"/>
    </row>
    <row r="545" spans="2:4" ht="15.75" customHeight="1" x14ac:dyDescent="0.25">
      <c r="B545" s="37"/>
      <c r="C545" s="37"/>
      <c r="D545" s="37"/>
    </row>
    <row r="546" spans="2:4" ht="15.75" customHeight="1" x14ac:dyDescent="0.25">
      <c r="B546" s="37"/>
      <c r="C546" s="37"/>
      <c r="D546" s="37"/>
    </row>
    <row r="547" spans="2:4" ht="15.75" customHeight="1" x14ac:dyDescent="0.25">
      <c r="B547" s="37"/>
      <c r="C547" s="37"/>
      <c r="D547" s="37"/>
    </row>
    <row r="548" spans="2:4" ht="15.75" customHeight="1" x14ac:dyDescent="0.25">
      <c r="B548" s="37"/>
      <c r="C548" s="37"/>
      <c r="D548" s="37"/>
    </row>
    <row r="549" spans="2:4" ht="15.75" customHeight="1" x14ac:dyDescent="0.25">
      <c r="B549" s="37"/>
      <c r="C549" s="37"/>
      <c r="D549" s="37"/>
    </row>
    <row r="550" spans="2:4" ht="15.75" customHeight="1" x14ac:dyDescent="0.25">
      <c r="B550" s="37"/>
      <c r="C550" s="37"/>
      <c r="D550" s="37"/>
    </row>
    <row r="551" spans="2:4" ht="15.75" customHeight="1" x14ac:dyDescent="0.25">
      <c r="B551" s="37"/>
      <c r="C551" s="37"/>
      <c r="D551" s="37"/>
    </row>
    <row r="552" spans="2:4" ht="15.75" customHeight="1" x14ac:dyDescent="0.25">
      <c r="B552" s="37"/>
      <c r="C552" s="37"/>
      <c r="D552" s="37"/>
    </row>
    <row r="553" spans="2:4" ht="15.75" customHeight="1" x14ac:dyDescent="0.25">
      <c r="B553" s="37"/>
      <c r="C553" s="37"/>
      <c r="D553" s="37"/>
    </row>
    <row r="554" spans="2:4" ht="15.75" customHeight="1" x14ac:dyDescent="0.25">
      <c r="B554" s="37"/>
      <c r="C554" s="37"/>
      <c r="D554" s="37"/>
    </row>
    <row r="555" spans="2:4" ht="15.75" customHeight="1" x14ac:dyDescent="0.25">
      <c r="B555" s="37"/>
      <c r="C555" s="37"/>
      <c r="D555" s="37"/>
    </row>
    <row r="556" spans="2:4" ht="15.75" customHeight="1" x14ac:dyDescent="0.25">
      <c r="B556" s="37"/>
      <c r="C556" s="37"/>
      <c r="D556" s="37"/>
    </row>
    <row r="557" spans="2:4" ht="15.75" customHeight="1" x14ac:dyDescent="0.25">
      <c r="B557" s="37"/>
      <c r="C557" s="37"/>
      <c r="D557" s="37"/>
    </row>
    <row r="558" spans="2:4" ht="15.75" customHeight="1" x14ac:dyDescent="0.25">
      <c r="B558" s="37"/>
      <c r="C558" s="37"/>
      <c r="D558" s="37"/>
    </row>
    <row r="559" spans="2:4" ht="15.75" customHeight="1" x14ac:dyDescent="0.25">
      <c r="B559" s="37"/>
      <c r="C559" s="37"/>
      <c r="D559" s="37"/>
    </row>
    <row r="560" spans="2:4" ht="15.75" customHeight="1" x14ac:dyDescent="0.25">
      <c r="B560" s="37"/>
      <c r="C560" s="37"/>
      <c r="D560" s="37"/>
    </row>
    <row r="561" spans="2:4" ht="15.75" customHeight="1" x14ac:dyDescent="0.25">
      <c r="B561" s="37"/>
      <c r="C561" s="37"/>
      <c r="D561" s="37"/>
    </row>
    <row r="562" spans="2:4" ht="15.75" customHeight="1" x14ac:dyDescent="0.25">
      <c r="B562" s="37"/>
      <c r="C562" s="37"/>
      <c r="D562" s="37"/>
    </row>
    <row r="563" spans="2:4" ht="15.75" customHeight="1" x14ac:dyDescent="0.25">
      <c r="B563" s="37"/>
      <c r="C563" s="37"/>
      <c r="D563" s="37"/>
    </row>
    <row r="564" spans="2:4" ht="15.75" customHeight="1" x14ac:dyDescent="0.25">
      <c r="B564" s="37"/>
      <c r="C564" s="37"/>
      <c r="D564" s="37"/>
    </row>
    <row r="565" spans="2:4" ht="15.75" customHeight="1" x14ac:dyDescent="0.25">
      <c r="B565" s="37"/>
      <c r="C565" s="37"/>
      <c r="D565" s="37"/>
    </row>
    <row r="566" spans="2:4" ht="15.75" customHeight="1" x14ac:dyDescent="0.25">
      <c r="B566" s="37"/>
      <c r="C566" s="37"/>
      <c r="D566" s="37"/>
    </row>
    <row r="567" spans="2:4" ht="15.75" customHeight="1" x14ac:dyDescent="0.25">
      <c r="B567" s="37"/>
      <c r="C567" s="37"/>
      <c r="D567" s="37"/>
    </row>
    <row r="568" spans="2:4" ht="15.75" customHeight="1" x14ac:dyDescent="0.25">
      <c r="B568" s="37"/>
      <c r="C568" s="37"/>
      <c r="D568" s="37"/>
    </row>
    <row r="569" spans="2:4" ht="15.75" customHeight="1" x14ac:dyDescent="0.25">
      <c r="B569" s="37"/>
      <c r="C569" s="37"/>
      <c r="D569" s="37"/>
    </row>
    <row r="570" spans="2:4" ht="15.75" customHeight="1" x14ac:dyDescent="0.25">
      <c r="B570" s="37"/>
      <c r="C570" s="37"/>
      <c r="D570" s="37"/>
    </row>
    <row r="571" spans="2:4" ht="15.75" customHeight="1" x14ac:dyDescent="0.25">
      <c r="B571" s="37"/>
      <c r="C571" s="37"/>
      <c r="D571" s="37"/>
    </row>
    <row r="572" spans="2:4" ht="15.75" customHeight="1" x14ac:dyDescent="0.25">
      <c r="B572" s="37"/>
      <c r="C572" s="37"/>
      <c r="D572" s="37"/>
    </row>
    <row r="573" spans="2:4" ht="15.75" customHeight="1" x14ac:dyDescent="0.25">
      <c r="B573" s="37"/>
      <c r="C573" s="37"/>
      <c r="D573" s="37"/>
    </row>
    <row r="574" spans="2:4" ht="15.75" customHeight="1" x14ac:dyDescent="0.25">
      <c r="B574" s="37"/>
      <c r="C574" s="37"/>
      <c r="D574" s="37"/>
    </row>
    <row r="575" spans="2:4" ht="15.75" customHeight="1" x14ac:dyDescent="0.25">
      <c r="B575" s="37"/>
      <c r="C575" s="37"/>
      <c r="D575" s="37"/>
    </row>
    <row r="576" spans="2:4" ht="15.75" customHeight="1" x14ac:dyDescent="0.25">
      <c r="B576" s="37"/>
      <c r="C576" s="37"/>
      <c r="D576" s="37"/>
    </row>
    <row r="577" spans="2:4" ht="15.75" customHeight="1" x14ac:dyDescent="0.25">
      <c r="B577" s="37"/>
      <c r="C577" s="37"/>
      <c r="D577" s="37"/>
    </row>
    <row r="578" spans="2:4" ht="15.75" customHeight="1" x14ac:dyDescent="0.25">
      <c r="B578" s="37"/>
      <c r="C578" s="37"/>
      <c r="D578" s="37"/>
    </row>
    <row r="579" spans="2:4" ht="15.75" customHeight="1" x14ac:dyDescent="0.25">
      <c r="B579" s="37"/>
      <c r="C579" s="37"/>
      <c r="D579" s="37"/>
    </row>
    <row r="580" spans="2:4" ht="15.75" customHeight="1" x14ac:dyDescent="0.25">
      <c r="B580" s="37"/>
      <c r="C580" s="37"/>
      <c r="D580" s="37"/>
    </row>
    <row r="581" spans="2:4" ht="15.75" customHeight="1" x14ac:dyDescent="0.25">
      <c r="B581" s="37"/>
      <c r="C581" s="37"/>
      <c r="D581" s="37"/>
    </row>
    <row r="582" spans="2:4" ht="15.75" customHeight="1" x14ac:dyDescent="0.25">
      <c r="B582" s="37"/>
      <c r="C582" s="37"/>
      <c r="D582" s="37"/>
    </row>
    <row r="583" spans="2:4" ht="15.75" customHeight="1" x14ac:dyDescent="0.25">
      <c r="B583" s="37"/>
      <c r="C583" s="37"/>
      <c r="D583" s="37"/>
    </row>
    <row r="584" spans="2:4" ht="15.75" customHeight="1" x14ac:dyDescent="0.25">
      <c r="B584" s="37"/>
      <c r="C584" s="37"/>
      <c r="D584" s="37"/>
    </row>
    <row r="585" spans="2:4" ht="15.75" customHeight="1" x14ac:dyDescent="0.25">
      <c r="B585" s="37"/>
      <c r="C585" s="37"/>
      <c r="D585" s="37"/>
    </row>
    <row r="586" spans="2:4" ht="15.75" customHeight="1" x14ac:dyDescent="0.25">
      <c r="B586" s="37"/>
      <c r="C586" s="37"/>
      <c r="D586" s="37"/>
    </row>
    <row r="587" spans="2:4" ht="15.75" customHeight="1" x14ac:dyDescent="0.25">
      <c r="B587" s="37"/>
      <c r="C587" s="37"/>
      <c r="D587" s="37"/>
    </row>
    <row r="588" spans="2:4" ht="15.75" customHeight="1" x14ac:dyDescent="0.25">
      <c r="B588" s="37"/>
      <c r="C588" s="37"/>
      <c r="D588" s="37"/>
    </row>
    <row r="589" spans="2:4" ht="15.75" customHeight="1" x14ac:dyDescent="0.25">
      <c r="B589" s="37"/>
      <c r="C589" s="37"/>
      <c r="D589" s="37"/>
    </row>
    <row r="590" spans="2:4" ht="15.75" customHeight="1" x14ac:dyDescent="0.25">
      <c r="B590" s="37"/>
      <c r="C590" s="37"/>
      <c r="D590" s="37"/>
    </row>
    <row r="591" spans="2:4" ht="15.75" customHeight="1" x14ac:dyDescent="0.25">
      <c r="B591" s="37"/>
      <c r="C591" s="37"/>
      <c r="D591" s="37"/>
    </row>
    <row r="592" spans="2:4" ht="15.75" customHeight="1" x14ac:dyDescent="0.25">
      <c r="B592" s="37"/>
      <c r="C592" s="37"/>
      <c r="D592" s="37"/>
    </row>
    <row r="593" spans="2:4" ht="15.75" customHeight="1" x14ac:dyDescent="0.25">
      <c r="B593" s="37"/>
      <c r="C593" s="37"/>
      <c r="D593" s="37"/>
    </row>
    <row r="594" spans="2:4" ht="15.75" customHeight="1" x14ac:dyDescent="0.25">
      <c r="B594" s="37"/>
      <c r="C594" s="37"/>
      <c r="D594" s="37"/>
    </row>
    <row r="595" spans="2:4" ht="15.75" customHeight="1" x14ac:dyDescent="0.25">
      <c r="B595" s="37"/>
      <c r="C595" s="37"/>
      <c r="D595" s="37"/>
    </row>
    <row r="596" spans="2:4" ht="15.75" customHeight="1" x14ac:dyDescent="0.25">
      <c r="B596" s="37"/>
      <c r="C596" s="37"/>
      <c r="D596" s="37"/>
    </row>
    <row r="597" spans="2:4" ht="15.75" customHeight="1" x14ac:dyDescent="0.25">
      <c r="B597" s="37"/>
      <c r="C597" s="37"/>
      <c r="D597" s="37"/>
    </row>
    <row r="598" spans="2:4" ht="15.75" customHeight="1" x14ac:dyDescent="0.25">
      <c r="B598" s="37"/>
      <c r="C598" s="37"/>
      <c r="D598" s="37"/>
    </row>
    <row r="599" spans="2:4" ht="15.75" customHeight="1" x14ac:dyDescent="0.25">
      <c r="B599" s="37"/>
      <c r="C599" s="37"/>
      <c r="D599" s="37"/>
    </row>
    <row r="600" spans="2:4" ht="15.75" customHeight="1" x14ac:dyDescent="0.25">
      <c r="B600" s="37"/>
      <c r="C600" s="37"/>
      <c r="D600" s="37"/>
    </row>
    <row r="601" spans="2:4" ht="15.75" customHeight="1" x14ac:dyDescent="0.25">
      <c r="B601" s="37"/>
      <c r="C601" s="37"/>
      <c r="D601" s="37"/>
    </row>
    <row r="602" spans="2:4" ht="15.75" customHeight="1" x14ac:dyDescent="0.25">
      <c r="B602" s="37"/>
      <c r="C602" s="37"/>
      <c r="D602" s="37"/>
    </row>
    <row r="603" spans="2:4" ht="15.75" customHeight="1" x14ac:dyDescent="0.25">
      <c r="B603" s="37"/>
      <c r="C603" s="37"/>
      <c r="D603" s="37"/>
    </row>
    <row r="604" spans="2:4" ht="15.75" customHeight="1" x14ac:dyDescent="0.25">
      <c r="B604" s="37"/>
      <c r="C604" s="37"/>
      <c r="D604" s="37"/>
    </row>
    <row r="605" spans="2:4" ht="15.75" customHeight="1" x14ac:dyDescent="0.25">
      <c r="B605" s="37"/>
      <c r="C605" s="37"/>
      <c r="D605" s="37"/>
    </row>
    <row r="606" spans="2:4" ht="15.75" customHeight="1" x14ac:dyDescent="0.25">
      <c r="B606" s="37"/>
      <c r="C606" s="37"/>
      <c r="D606" s="37"/>
    </row>
    <row r="607" spans="2:4" ht="15.75" customHeight="1" x14ac:dyDescent="0.25">
      <c r="B607" s="37"/>
      <c r="C607" s="37"/>
      <c r="D607" s="37"/>
    </row>
    <row r="608" spans="2:4" ht="15.75" customHeight="1" x14ac:dyDescent="0.25">
      <c r="B608" s="37"/>
      <c r="C608" s="37"/>
      <c r="D608" s="37"/>
    </row>
    <row r="609" spans="2:4" ht="15.75" customHeight="1" x14ac:dyDescent="0.25">
      <c r="B609" s="37"/>
      <c r="C609" s="37"/>
      <c r="D609" s="37"/>
    </row>
    <row r="610" spans="2:4" ht="15.75" customHeight="1" x14ac:dyDescent="0.25">
      <c r="B610" s="37"/>
      <c r="C610" s="37"/>
      <c r="D610" s="37"/>
    </row>
    <row r="611" spans="2:4" ht="15.75" customHeight="1" x14ac:dyDescent="0.25">
      <c r="B611" s="37"/>
      <c r="C611" s="37"/>
      <c r="D611" s="37"/>
    </row>
    <row r="612" spans="2:4" ht="15.75" customHeight="1" x14ac:dyDescent="0.25">
      <c r="B612" s="37"/>
      <c r="C612" s="37"/>
      <c r="D612" s="37"/>
    </row>
    <row r="613" spans="2:4" ht="15.75" customHeight="1" x14ac:dyDescent="0.25">
      <c r="B613" s="37"/>
      <c r="C613" s="37"/>
      <c r="D613" s="37"/>
    </row>
    <row r="614" spans="2:4" ht="15.75" customHeight="1" x14ac:dyDescent="0.25">
      <c r="B614" s="37"/>
      <c r="C614" s="37"/>
      <c r="D614" s="37"/>
    </row>
    <row r="615" spans="2:4" ht="15.75" customHeight="1" x14ac:dyDescent="0.25">
      <c r="B615" s="37"/>
      <c r="C615" s="37"/>
      <c r="D615" s="37"/>
    </row>
    <row r="616" spans="2:4" ht="15.75" customHeight="1" x14ac:dyDescent="0.25">
      <c r="B616" s="37"/>
      <c r="C616" s="37"/>
      <c r="D616" s="37"/>
    </row>
    <row r="617" spans="2:4" ht="15.75" customHeight="1" x14ac:dyDescent="0.25">
      <c r="B617" s="37"/>
      <c r="C617" s="37"/>
      <c r="D617" s="37"/>
    </row>
    <row r="618" spans="2:4" ht="15.75" customHeight="1" x14ac:dyDescent="0.25">
      <c r="B618" s="37"/>
      <c r="C618" s="37"/>
      <c r="D618" s="37"/>
    </row>
    <row r="619" spans="2:4" ht="15.75" customHeight="1" x14ac:dyDescent="0.25">
      <c r="B619" s="37"/>
      <c r="C619" s="37"/>
      <c r="D619" s="37"/>
    </row>
    <row r="620" spans="2:4" ht="15.75" customHeight="1" x14ac:dyDescent="0.25">
      <c r="B620" s="37"/>
      <c r="C620" s="37"/>
      <c r="D620" s="37"/>
    </row>
    <row r="621" spans="2:4" ht="15.75" customHeight="1" x14ac:dyDescent="0.25">
      <c r="B621" s="37"/>
      <c r="C621" s="37"/>
      <c r="D621" s="37"/>
    </row>
    <row r="622" spans="2:4" ht="15.75" customHeight="1" x14ac:dyDescent="0.25">
      <c r="B622" s="37"/>
      <c r="C622" s="37"/>
      <c r="D622" s="37"/>
    </row>
    <row r="623" spans="2:4" ht="15.75" customHeight="1" x14ac:dyDescent="0.25">
      <c r="B623" s="37"/>
      <c r="C623" s="37"/>
      <c r="D623" s="37"/>
    </row>
    <row r="624" spans="2:4" ht="15.75" customHeight="1" x14ac:dyDescent="0.25">
      <c r="B624" s="37"/>
      <c r="C624" s="37"/>
      <c r="D624" s="37"/>
    </row>
    <row r="625" spans="2:4" ht="15.75" customHeight="1" x14ac:dyDescent="0.25">
      <c r="B625" s="37"/>
      <c r="C625" s="37"/>
      <c r="D625" s="37"/>
    </row>
    <row r="626" spans="2:4" ht="15.75" customHeight="1" x14ac:dyDescent="0.25">
      <c r="B626" s="37"/>
      <c r="C626" s="37"/>
      <c r="D626" s="37"/>
    </row>
    <row r="627" spans="2:4" ht="15.75" customHeight="1" x14ac:dyDescent="0.25">
      <c r="B627" s="37"/>
      <c r="C627" s="37"/>
      <c r="D627" s="37"/>
    </row>
    <row r="628" spans="2:4" ht="15.75" customHeight="1" x14ac:dyDescent="0.25">
      <c r="B628" s="37"/>
      <c r="C628" s="37"/>
      <c r="D628" s="37"/>
    </row>
    <row r="629" spans="2:4" ht="15.75" customHeight="1" x14ac:dyDescent="0.25">
      <c r="B629" s="37"/>
      <c r="C629" s="37"/>
      <c r="D629" s="37"/>
    </row>
    <row r="630" spans="2:4" ht="15.75" customHeight="1" x14ac:dyDescent="0.25">
      <c r="B630" s="37"/>
      <c r="C630" s="37"/>
      <c r="D630" s="37"/>
    </row>
    <row r="631" spans="2:4" ht="15.75" customHeight="1" x14ac:dyDescent="0.25">
      <c r="B631" s="37"/>
      <c r="C631" s="37"/>
      <c r="D631" s="37"/>
    </row>
    <row r="632" spans="2:4" ht="15.75" customHeight="1" x14ac:dyDescent="0.25">
      <c r="B632" s="37"/>
      <c r="C632" s="37"/>
      <c r="D632" s="37"/>
    </row>
    <row r="633" spans="2:4" ht="15.75" customHeight="1" x14ac:dyDescent="0.25">
      <c r="B633" s="37"/>
      <c r="C633" s="37"/>
      <c r="D633" s="37"/>
    </row>
    <row r="634" spans="2:4" ht="15.75" customHeight="1" x14ac:dyDescent="0.25">
      <c r="B634" s="37"/>
      <c r="C634" s="37"/>
      <c r="D634" s="37"/>
    </row>
    <row r="635" spans="2:4" ht="15.75" customHeight="1" x14ac:dyDescent="0.25">
      <c r="B635" s="37"/>
      <c r="C635" s="37"/>
      <c r="D635" s="37"/>
    </row>
    <row r="636" spans="2:4" ht="15.75" customHeight="1" x14ac:dyDescent="0.25">
      <c r="B636" s="37"/>
      <c r="C636" s="37"/>
      <c r="D636" s="37"/>
    </row>
    <row r="637" spans="2:4" ht="15.75" customHeight="1" x14ac:dyDescent="0.25">
      <c r="B637" s="37"/>
      <c r="C637" s="37"/>
      <c r="D637" s="37"/>
    </row>
    <row r="638" spans="2:4" ht="15.75" customHeight="1" x14ac:dyDescent="0.25">
      <c r="B638" s="37"/>
      <c r="C638" s="37"/>
      <c r="D638" s="37"/>
    </row>
    <row r="639" spans="2:4" ht="15.75" customHeight="1" x14ac:dyDescent="0.25">
      <c r="B639" s="37"/>
      <c r="C639" s="37"/>
      <c r="D639" s="37"/>
    </row>
    <row r="640" spans="2:4" ht="15.75" customHeight="1" x14ac:dyDescent="0.25">
      <c r="B640" s="37"/>
      <c r="C640" s="37"/>
      <c r="D640" s="37"/>
    </row>
    <row r="641" spans="2:4" ht="15.75" customHeight="1" x14ac:dyDescent="0.25">
      <c r="B641" s="37"/>
      <c r="C641" s="37"/>
      <c r="D641" s="37"/>
    </row>
    <row r="642" spans="2:4" ht="15.75" customHeight="1" x14ac:dyDescent="0.25">
      <c r="B642" s="37"/>
      <c r="C642" s="37"/>
      <c r="D642" s="37"/>
    </row>
    <row r="643" spans="2:4" ht="15.75" customHeight="1" x14ac:dyDescent="0.25">
      <c r="B643" s="37"/>
      <c r="C643" s="37"/>
      <c r="D643" s="37"/>
    </row>
    <row r="644" spans="2:4" ht="15.75" customHeight="1" x14ac:dyDescent="0.25">
      <c r="B644" s="37"/>
      <c r="C644" s="37"/>
      <c r="D644" s="37"/>
    </row>
    <row r="645" spans="2:4" ht="15.75" customHeight="1" x14ac:dyDescent="0.25">
      <c r="B645" s="37"/>
      <c r="C645" s="37"/>
      <c r="D645" s="37"/>
    </row>
    <row r="646" spans="2:4" ht="15.75" customHeight="1" x14ac:dyDescent="0.25">
      <c r="B646" s="37"/>
      <c r="C646" s="37"/>
      <c r="D646" s="37"/>
    </row>
    <row r="647" spans="2:4" ht="15.75" customHeight="1" x14ac:dyDescent="0.25">
      <c r="B647" s="37"/>
      <c r="C647" s="37"/>
      <c r="D647" s="37"/>
    </row>
    <row r="648" spans="2:4" ht="15.75" customHeight="1" x14ac:dyDescent="0.25">
      <c r="B648" s="37"/>
      <c r="C648" s="37"/>
      <c r="D648" s="37"/>
    </row>
    <row r="649" spans="2:4" ht="15.75" customHeight="1" x14ac:dyDescent="0.25">
      <c r="B649" s="37"/>
      <c r="C649" s="37"/>
      <c r="D649" s="37"/>
    </row>
    <row r="650" spans="2:4" ht="15.75" customHeight="1" x14ac:dyDescent="0.25">
      <c r="B650" s="37"/>
      <c r="C650" s="37"/>
      <c r="D650" s="37"/>
    </row>
    <row r="651" spans="2:4" ht="15.75" customHeight="1" x14ac:dyDescent="0.25">
      <c r="B651" s="37"/>
      <c r="C651" s="37"/>
      <c r="D651" s="37"/>
    </row>
    <row r="652" spans="2:4" ht="15.75" customHeight="1" x14ac:dyDescent="0.25">
      <c r="B652" s="37"/>
      <c r="C652" s="37"/>
      <c r="D652" s="37"/>
    </row>
    <row r="653" spans="2:4" ht="15.75" customHeight="1" x14ac:dyDescent="0.25">
      <c r="B653" s="37"/>
      <c r="C653" s="37"/>
      <c r="D653" s="37"/>
    </row>
    <row r="654" spans="2:4" ht="15.75" customHeight="1" x14ac:dyDescent="0.25">
      <c r="B654" s="37"/>
      <c r="C654" s="37"/>
      <c r="D654" s="37"/>
    </row>
    <row r="655" spans="2:4" ht="15.75" customHeight="1" x14ac:dyDescent="0.25">
      <c r="B655" s="37"/>
      <c r="C655" s="37"/>
      <c r="D655" s="37"/>
    </row>
    <row r="656" spans="2:4" ht="15.75" customHeight="1" x14ac:dyDescent="0.25">
      <c r="B656" s="37"/>
      <c r="C656" s="37"/>
      <c r="D656" s="37"/>
    </row>
    <row r="657" spans="2:4" ht="15.75" customHeight="1" x14ac:dyDescent="0.25">
      <c r="B657" s="37"/>
      <c r="C657" s="37"/>
      <c r="D657" s="37"/>
    </row>
    <row r="658" spans="2:4" ht="15.75" customHeight="1" x14ac:dyDescent="0.25">
      <c r="B658" s="37"/>
      <c r="C658" s="37"/>
      <c r="D658" s="37"/>
    </row>
    <row r="659" spans="2:4" ht="15.75" customHeight="1" x14ac:dyDescent="0.25">
      <c r="B659" s="37"/>
      <c r="C659" s="37"/>
      <c r="D659" s="37"/>
    </row>
    <row r="660" spans="2:4" ht="15.75" customHeight="1" x14ac:dyDescent="0.25">
      <c r="B660" s="37"/>
      <c r="C660" s="37"/>
      <c r="D660" s="37"/>
    </row>
    <row r="661" spans="2:4" ht="15.75" customHeight="1" x14ac:dyDescent="0.25">
      <c r="B661" s="37"/>
      <c r="C661" s="37"/>
      <c r="D661" s="37"/>
    </row>
    <row r="662" spans="2:4" ht="15.75" customHeight="1" x14ac:dyDescent="0.25">
      <c r="B662" s="37"/>
      <c r="C662" s="37"/>
      <c r="D662" s="37"/>
    </row>
    <row r="663" spans="2:4" ht="15.75" customHeight="1" x14ac:dyDescent="0.25">
      <c r="B663" s="37"/>
      <c r="C663" s="37"/>
      <c r="D663" s="37"/>
    </row>
    <row r="664" spans="2:4" ht="15.75" customHeight="1" x14ac:dyDescent="0.25">
      <c r="B664" s="37"/>
      <c r="C664" s="37"/>
      <c r="D664" s="37"/>
    </row>
    <row r="665" spans="2:4" ht="15.75" customHeight="1" x14ac:dyDescent="0.25">
      <c r="B665" s="37"/>
      <c r="C665" s="37"/>
      <c r="D665" s="37"/>
    </row>
    <row r="666" spans="2:4" ht="15.75" customHeight="1" x14ac:dyDescent="0.25">
      <c r="B666" s="37"/>
      <c r="C666" s="37"/>
      <c r="D666" s="37"/>
    </row>
    <row r="667" spans="2:4" ht="15.75" customHeight="1" x14ac:dyDescent="0.25">
      <c r="B667" s="37"/>
      <c r="C667" s="37"/>
      <c r="D667" s="37"/>
    </row>
    <row r="668" spans="2:4" ht="15.75" customHeight="1" x14ac:dyDescent="0.25">
      <c r="B668" s="37"/>
      <c r="C668" s="37"/>
      <c r="D668" s="37"/>
    </row>
    <row r="669" spans="2:4" ht="15.75" customHeight="1" x14ac:dyDescent="0.25">
      <c r="B669" s="37"/>
      <c r="C669" s="37"/>
      <c r="D669" s="37"/>
    </row>
    <row r="670" spans="2:4" ht="15.75" customHeight="1" x14ac:dyDescent="0.25">
      <c r="B670" s="37"/>
      <c r="C670" s="37"/>
      <c r="D670" s="37"/>
    </row>
    <row r="671" spans="2:4" ht="15.75" customHeight="1" x14ac:dyDescent="0.25">
      <c r="B671" s="37"/>
      <c r="C671" s="37"/>
      <c r="D671" s="37"/>
    </row>
    <row r="672" spans="2:4" ht="15.75" customHeight="1" x14ac:dyDescent="0.25">
      <c r="B672" s="37"/>
      <c r="C672" s="37"/>
      <c r="D672" s="37"/>
    </row>
    <row r="673" spans="2:4" ht="15.75" customHeight="1" x14ac:dyDescent="0.25">
      <c r="B673" s="37"/>
      <c r="C673" s="37"/>
      <c r="D673" s="37"/>
    </row>
    <row r="674" spans="2:4" ht="15.75" customHeight="1" x14ac:dyDescent="0.25">
      <c r="B674" s="37"/>
      <c r="C674" s="37"/>
      <c r="D674" s="37"/>
    </row>
    <row r="675" spans="2:4" ht="15.75" customHeight="1" x14ac:dyDescent="0.25">
      <c r="B675" s="37"/>
      <c r="C675" s="37"/>
      <c r="D675" s="37"/>
    </row>
    <row r="676" spans="2:4" ht="15.75" customHeight="1" x14ac:dyDescent="0.25">
      <c r="B676" s="37"/>
      <c r="C676" s="37"/>
      <c r="D676" s="37"/>
    </row>
    <row r="677" spans="2:4" ht="15.75" customHeight="1" x14ac:dyDescent="0.25">
      <c r="B677" s="37"/>
      <c r="C677" s="37"/>
      <c r="D677" s="37"/>
    </row>
    <row r="678" spans="2:4" ht="15.75" customHeight="1" x14ac:dyDescent="0.25">
      <c r="B678" s="37"/>
      <c r="C678" s="37"/>
      <c r="D678" s="37"/>
    </row>
    <row r="679" spans="2:4" ht="15.75" customHeight="1" x14ac:dyDescent="0.25">
      <c r="B679" s="37"/>
      <c r="C679" s="37"/>
      <c r="D679" s="37"/>
    </row>
    <row r="680" spans="2:4" ht="15.75" customHeight="1" x14ac:dyDescent="0.25">
      <c r="B680" s="37"/>
      <c r="C680" s="37"/>
      <c r="D680" s="37"/>
    </row>
    <row r="681" spans="2:4" ht="15.75" customHeight="1" x14ac:dyDescent="0.25">
      <c r="B681" s="37"/>
      <c r="C681" s="37"/>
      <c r="D681" s="37"/>
    </row>
    <row r="682" spans="2:4" ht="15.75" customHeight="1" x14ac:dyDescent="0.25">
      <c r="B682" s="37"/>
      <c r="C682" s="37"/>
      <c r="D682" s="37"/>
    </row>
    <row r="683" spans="2:4" ht="15.75" customHeight="1" x14ac:dyDescent="0.25">
      <c r="B683" s="37"/>
      <c r="C683" s="37"/>
      <c r="D683" s="37"/>
    </row>
    <row r="684" spans="2:4" ht="15.75" customHeight="1" x14ac:dyDescent="0.25">
      <c r="B684" s="37"/>
      <c r="C684" s="37"/>
      <c r="D684" s="37"/>
    </row>
    <row r="685" spans="2:4" ht="15.75" customHeight="1" x14ac:dyDescent="0.25">
      <c r="B685" s="37"/>
      <c r="C685" s="37"/>
      <c r="D685" s="37"/>
    </row>
    <row r="686" spans="2:4" ht="15.75" customHeight="1" x14ac:dyDescent="0.25">
      <c r="B686" s="37"/>
      <c r="C686" s="37"/>
      <c r="D686" s="37"/>
    </row>
    <row r="687" spans="2:4" ht="15.75" customHeight="1" x14ac:dyDescent="0.25">
      <c r="B687" s="37"/>
      <c r="C687" s="37"/>
      <c r="D687" s="37"/>
    </row>
    <row r="688" spans="2:4" ht="15.75" customHeight="1" x14ac:dyDescent="0.25">
      <c r="B688" s="37"/>
      <c r="C688" s="37"/>
      <c r="D688" s="37"/>
    </row>
    <row r="689" spans="2:4" ht="15.75" customHeight="1" x14ac:dyDescent="0.25">
      <c r="B689" s="37"/>
      <c r="C689" s="37"/>
      <c r="D689" s="37"/>
    </row>
    <row r="690" spans="2:4" ht="15.75" customHeight="1" x14ac:dyDescent="0.25">
      <c r="B690" s="37"/>
      <c r="C690" s="37"/>
      <c r="D690" s="37"/>
    </row>
    <row r="691" spans="2:4" ht="15.75" customHeight="1" x14ac:dyDescent="0.25">
      <c r="B691" s="37"/>
      <c r="C691" s="37"/>
      <c r="D691" s="37"/>
    </row>
    <row r="692" spans="2:4" ht="15.75" customHeight="1" x14ac:dyDescent="0.25">
      <c r="B692" s="37"/>
      <c r="C692" s="37"/>
      <c r="D692" s="37"/>
    </row>
    <row r="693" spans="2:4" ht="15.75" customHeight="1" x14ac:dyDescent="0.25">
      <c r="B693" s="37"/>
      <c r="C693" s="37"/>
      <c r="D693" s="37"/>
    </row>
    <row r="694" spans="2:4" ht="15.75" customHeight="1" x14ac:dyDescent="0.25">
      <c r="B694" s="37"/>
      <c r="C694" s="37"/>
      <c r="D694" s="37"/>
    </row>
    <row r="695" spans="2:4" ht="15.75" customHeight="1" x14ac:dyDescent="0.25">
      <c r="B695" s="37"/>
      <c r="C695" s="37"/>
      <c r="D695" s="37"/>
    </row>
    <row r="696" spans="2:4" ht="15.75" customHeight="1" x14ac:dyDescent="0.25">
      <c r="B696" s="37"/>
      <c r="C696" s="37"/>
      <c r="D696" s="37"/>
    </row>
    <row r="697" spans="2:4" ht="15.75" customHeight="1" x14ac:dyDescent="0.25">
      <c r="B697" s="37"/>
      <c r="C697" s="37"/>
      <c r="D697" s="37"/>
    </row>
    <row r="698" spans="2:4" ht="15.75" customHeight="1" x14ac:dyDescent="0.25">
      <c r="B698" s="37"/>
      <c r="C698" s="37"/>
      <c r="D698" s="37"/>
    </row>
    <row r="699" spans="2:4" ht="15.75" customHeight="1" x14ac:dyDescent="0.25">
      <c r="B699" s="37"/>
      <c r="C699" s="37"/>
      <c r="D699" s="37"/>
    </row>
    <row r="700" spans="2:4" ht="15.75" customHeight="1" x14ac:dyDescent="0.25">
      <c r="B700" s="37"/>
      <c r="C700" s="37"/>
      <c r="D700" s="37"/>
    </row>
    <row r="701" spans="2:4" ht="15.75" customHeight="1" x14ac:dyDescent="0.25">
      <c r="B701" s="37"/>
      <c r="C701" s="37"/>
      <c r="D701" s="37"/>
    </row>
    <row r="702" spans="2:4" ht="15.75" customHeight="1" x14ac:dyDescent="0.25">
      <c r="B702" s="37"/>
      <c r="C702" s="37"/>
      <c r="D702" s="37"/>
    </row>
    <row r="703" spans="2:4" ht="15.75" customHeight="1" x14ac:dyDescent="0.25">
      <c r="B703" s="37"/>
      <c r="C703" s="37"/>
      <c r="D703" s="37"/>
    </row>
    <row r="704" spans="2:4" ht="15.75" customHeight="1" x14ac:dyDescent="0.25">
      <c r="B704" s="37"/>
      <c r="C704" s="37"/>
      <c r="D704" s="37"/>
    </row>
    <row r="705" spans="2:4" ht="15.75" customHeight="1" x14ac:dyDescent="0.25">
      <c r="B705" s="37"/>
      <c r="C705" s="37"/>
      <c r="D705" s="37"/>
    </row>
    <row r="706" spans="2:4" ht="15.75" customHeight="1" x14ac:dyDescent="0.25">
      <c r="B706" s="37"/>
      <c r="C706" s="37"/>
      <c r="D706" s="37"/>
    </row>
    <row r="707" spans="2:4" ht="15.75" customHeight="1" x14ac:dyDescent="0.25">
      <c r="B707" s="37"/>
      <c r="C707" s="37"/>
      <c r="D707" s="37"/>
    </row>
    <row r="708" spans="2:4" ht="15.75" customHeight="1" x14ac:dyDescent="0.25">
      <c r="B708" s="37"/>
      <c r="C708" s="37"/>
      <c r="D708" s="37"/>
    </row>
    <row r="709" spans="2:4" ht="15.75" customHeight="1" x14ac:dyDescent="0.25">
      <c r="B709" s="37"/>
      <c r="C709" s="37"/>
      <c r="D709" s="37"/>
    </row>
    <row r="710" spans="2:4" ht="15.75" customHeight="1" x14ac:dyDescent="0.25">
      <c r="B710" s="37"/>
      <c r="C710" s="37"/>
      <c r="D710" s="37"/>
    </row>
    <row r="711" spans="2:4" ht="15.75" customHeight="1" x14ac:dyDescent="0.25">
      <c r="B711" s="37"/>
      <c r="C711" s="37"/>
      <c r="D711" s="37"/>
    </row>
    <row r="712" spans="2:4" ht="15.75" customHeight="1" x14ac:dyDescent="0.25">
      <c r="B712" s="37"/>
      <c r="C712" s="37"/>
      <c r="D712" s="37"/>
    </row>
    <row r="713" spans="2:4" ht="15.75" customHeight="1" x14ac:dyDescent="0.25">
      <c r="B713" s="37"/>
      <c r="C713" s="37"/>
      <c r="D713" s="37"/>
    </row>
    <row r="714" spans="2:4" ht="15.75" customHeight="1" x14ac:dyDescent="0.25">
      <c r="B714" s="37"/>
      <c r="C714" s="37"/>
      <c r="D714" s="37"/>
    </row>
    <row r="715" spans="2:4" ht="15.75" customHeight="1" x14ac:dyDescent="0.25">
      <c r="B715" s="37"/>
      <c r="C715" s="37"/>
      <c r="D715" s="37"/>
    </row>
    <row r="716" spans="2:4" ht="15.75" customHeight="1" x14ac:dyDescent="0.25">
      <c r="B716" s="37"/>
      <c r="C716" s="37"/>
      <c r="D716" s="37"/>
    </row>
    <row r="717" spans="2:4" ht="15.75" customHeight="1" x14ac:dyDescent="0.25">
      <c r="B717" s="37"/>
      <c r="C717" s="37"/>
      <c r="D717" s="37"/>
    </row>
    <row r="718" spans="2:4" ht="15.75" customHeight="1" x14ac:dyDescent="0.25">
      <c r="B718" s="37"/>
      <c r="C718" s="37"/>
      <c r="D718" s="37"/>
    </row>
    <row r="719" spans="2:4" ht="15.75" customHeight="1" x14ac:dyDescent="0.25">
      <c r="B719" s="37"/>
      <c r="C719" s="37"/>
      <c r="D719" s="37"/>
    </row>
    <row r="720" spans="2:4" ht="15.75" customHeight="1" x14ac:dyDescent="0.25">
      <c r="B720" s="37"/>
      <c r="C720" s="37"/>
      <c r="D720" s="37"/>
    </row>
    <row r="721" spans="2:4" ht="15.75" customHeight="1" x14ac:dyDescent="0.25">
      <c r="B721" s="37"/>
      <c r="C721" s="37"/>
      <c r="D721" s="37"/>
    </row>
    <row r="722" spans="2:4" ht="15.75" customHeight="1" x14ac:dyDescent="0.25">
      <c r="B722" s="37"/>
      <c r="C722" s="37"/>
      <c r="D722" s="37"/>
    </row>
    <row r="723" spans="2:4" ht="15.75" customHeight="1" x14ac:dyDescent="0.25">
      <c r="B723" s="37"/>
      <c r="C723" s="37"/>
      <c r="D723" s="37"/>
    </row>
    <row r="724" spans="2:4" ht="15.75" customHeight="1" x14ac:dyDescent="0.25">
      <c r="B724" s="37"/>
      <c r="C724" s="37"/>
      <c r="D724" s="37"/>
    </row>
    <row r="725" spans="2:4" ht="15.75" customHeight="1" x14ac:dyDescent="0.25">
      <c r="B725" s="37"/>
      <c r="C725" s="37"/>
      <c r="D725" s="37"/>
    </row>
    <row r="726" spans="2:4" ht="15.75" customHeight="1" x14ac:dyDescent="0.25">
      <c r="B726" s="37"/>
      <c r="C726" s="37"/>
      <c r="D726" s="37"/>
    </row>
    <row r="727" spans="2:4" ht="15.75" customHeight="1" x14ac:dyDescent="0.25">
      <c r="B727" s="37"/>
      <c r="C727" s="37"/>
      <c r="D727" s="37"/>
    </row>
    <row r="728" spans="2:4" ht="15.75" customHeight="1" x14ac:dyDescent="0.25">
      <c r="B728" s="37"/>
      <c r="C728" s="37"/>
      <c r="D728" s="37"/>
    </row>
    <row r="729" spans="2:4" ht="15.75" customHeight="1" x14ac:dyDescent="0.25">
      <c r="B729" s="37"/>
      <c r="C729" s="37"/>
      <c r="D729" s="37"/>
    </row>
    <row r="730" spans="2:4" ht="15.75" customHeight="1" x14ac:dyDescent="0.25">
      <c r="B730" s="37"/>
      <c r="C730" s="37"/>
      <c r="D730" s="37"/>
    </row>
    <row r="731" spans="2:4" ht="15.75" customHeight="1" x14ac:dyDescent="0.25">
      <c r="B731" s="37"/>
      <c r="C731" s="37"/>
      <c r="D731" s="37"/>
    </row>
    <row r="732" spans="2:4" ht="15.75" customHeight="1" x14ac:dyDescent="0.25">
      <c r="B732" s="37"/>
      <c r="C732" s="37"/>
      <c r="D732" s="37"/>
    </row>
    <row r="733" spans="2:4" ht="15.75" customHeight="1" x14ac:dyDescent="0.25">
      <c r="B733" s="37"/>
      <c r="C733" s="37"/>
      <c r="D733" s="37"/>
    </row>
    <row r="734" spans="2:4" ht="15.75" customHeight="1" x14ac:dyDescent="0.25">
      <c r="B734" s="37"/>
      <c r="C734" s="37"/>
      <c r="D734" s="37"/>
    </row>
    <row r="735" spans="2:4" ht="15.75" customHeight="1" x14ac:dyDescent="0.25">
      <c r="B735" s="37"/>
      <c r="C735" s="37"/>
      <c r="D735" s="37"/>
    </row>
    <row r="736" spans="2:4" ht="15.75" customHeight="1" x14ac:dyDescent="0.25">
      <c r="B736" s="37"/>
      <c r="C736" s="37"/>
      <c r="D736" s="37"/>
    </row>
    <row r="737" spans="2:4" ht="15.75" customHeight="1" x14ac:dyDescent="0.25">
      <c r="B737" s="37"/>
      <c r="C737" s="37"/>
      <c r="D737" s="37"/>
    </row>
    <row r="738" spans="2:4" ht="15.75" customHeight="1" x14ac:dyDescent="0.25">
      <c r="B738" s="37"/>
      <c r="C738" s="37"/>
      <c r="D738" s="37"/>
    </row>
    <row r="739" spans="2:4" ht="15.75" customHeight="1" x14ac:dyDescent="0.25">
      <c r="B739" s="37"/>
      <c r="C739" s="37"/>
      <c r="D739" s="37"/>
    </row>
    <row r="740" spans="2:4" ht="15.75" customHeight="1" x14ac:dyDescent="0.25">
      <c r="B740" s="37"/>
      <c r="C740" s="37"/>
      <c r="D740" s="37"/>
    </row>
    <row r="741" spans="2:4" ht="15.75" customHeight="1" x14ac:dyDescent="0.25">
      <c r="B741" s="37"/>
      <c r="C741" s="37"/>
      <c r="D741" s="37"/>
    </row>
    <row r="742" spans="2:4" ht="15.75" customHeight="1" x14ac:dyDescent="0.25">
      <c r="B742" s="37"/>
      <c r="C742" s="37"/>
      <c r="D742" s="37"/>
    </row>
    <row r="743" spans="2:4" ht="15.75" customHeight="1" x14ac:dyDescent="0.25">
      <c r="B743" s="37"/>
      <c r="C743" s="37"/>
      <c r="D743" s="37"/>
    </row>
    <row r="744" spans="2:4" ht="15.75" customHeight="1" x14ac:dyDescent="0.25">
      <c r="B744" s="37"/>
      <c r="C744" s="37"/>
      <c r="D744" s="37"/>
    </row>
    <row r="745" spans="2:4" ht="15.75" customHeight="1" x14ac:dyDescent="0.25">
      <c r="B745" s="37"/>
      <c r="C745" s="37"/>
      <c r="D745" s="37"/>
    </row>
    <row r="746" spans="2:4" ht="15.75" customHeight="1" x14ac:dyDescent="0.25">
      <c r="B746" s="37"/>
      <c r="C746" s="37"/>
      <c r="D746" s="37"/>
    </row>
    <row r="747" spans="2:4" ht="15.75" customHeight="1" x14ac:dyDescent="0.25">
      <c r="B747" s="37"/>
      <c r="C747" s="37"/>
      <c r="D747" s="37"/>
    </row>
    <row r="748" spans="2:4" ht="15.75" customHeight="1" x14ac:dyDescent="0.25">
      <c r="B748" s="37"/>
      <c r="C748" s="37"/>
      <c r="D748" s="37"/>
    </row>
    <row r="749" spans="2:4" ht="15.75" customHeight="1" x14ac:dyDescent="0.25">
      <c r="B749" s="37"/>
      <c r="C749" s="37"/>
      <c r="D749" s="37"/>
    </row>
    <row r="750" spans="2:4" ht="15.75" customHeight="1" x14ac:dyDescent="0.25">
      <c r="B750" s="37"/>
      <c r="C750" s="37"/>
      <c r="D750" s="37"/>
    </row>
    <row r="751" spans="2:4" ht="15.75" customHeight="1" x14ac:dyDescent="0.25">
      <c r="B751" s="37"/>
      <c r="C751" s="37"/>
      <c r="D751" s="37"/>
    </row>
    <row r="752" spans="2:4" ht="15.75" customHeight="1" x14ac:dyDescent="0.25">
      <c r="B752" s="37"/>
      <c r="C752" s="37"/>
      <c r="D752" s="37"/>
    </row>
    <row r="753" spans="2:4" ht="15.75" customHeight="1" x14ac:dyDescent="0.25">
      <c r="B753" s="37"/>
      <c r="C753" s="37"/>
      <c r="D753" s="37"/>
    </row>
    <row r="754" spans="2:4" ht="15.75" customHeight="1" x14ac:dyDescent="0.25">
      <c r="B754" s="37"/>
      <c r="C754" s="37"/>
      <c r="D754" s="37"/>
    </row>
    <row r="755" spans="2:4" ht="15.75" customHeight="1" x14ac:dyDescent="0.25">
      <c r="B755" s="37"/>
      <c r="C755" s="37"/>
      <c r="D755" s="37"/>
    </row>
    <row r="756" spans="2:4" ht="15.75" customHeight="1" x14ac:dyDescent="0.25">
      <c r="B756" s="37"/>
      <c r="C756" s="37"/>
      <c r="D756" s="37"/>
    </row>
    <row r="757" spans="2:4" ht="15.75" customHeight="1" x14ac:dyDescent="0.25">
      <c r="B757" s="37"/>
      <c r="C757" s="37"/>
      <c r="D757" s="37"/>
    </row>
    <row r="758" spans="2:4" ht="15.75" customHeight="1" x14ac:dyDescent="0.25">
      <c r="B758" s="37"/>
      <c r="C758" s="37"/>
      <c r="D758" s="37"/>
    </row>
    <row r="759" spans="2:4" ht="15.75" customHeight="1" x14ac:dyDescent="0.25">
      <c r="B759" s="37"/>
      <c r="C759" s="37"/>
      <c r="D759" s="37"/>
    </row>
    <row r="760" spans="2:4" ht="15.75" customHeight="1" x14ac:dyDescent="0.25">
      <c r="B760" s="37"/>
      <c r="C760" s="37"/>
      <c r="D760" s="37"/>
    </row>
    <row r="761" spans="2:4" ht="15.75" customHeight="1" x14ac:dyDescent="0.25">
      <c r="B761" s="37"/>
      <c r="C761" s="37"/>
      <c r="D761" s="37"/>
    </row>
    <row r="762" spans="2:4" ht="15.75" customHeight="1" x14ac:dyDescent="0.25">
      <c r="B762" s="37"/>
      <c r="C762" s="37"/>
      <c r="D762" s="37"/>
    </row>
    <row r="763" spans="2:4" ht="15.75" customHeight="1" x14ac:dyDescent="0.25">
      <c r="B763" s="37"/>
      <c r="C763" s="37"/>
      <c r="D763" s="37"/>
    </row>
    <row r="764" spans="2:4" ht="15.75" customHeight="1" x14ac:dyDescent="0.25">
      <c r="B764" s="37"/>
      <c r="C764" s="37"/>
      <c r="D764" s="37"/>
    </row>
    <row r="765" spans="2:4" ht="15.75" customHeight="1" x14ac:dyDescent="0.25">
      <c r="B765" s="37"/>
      <c r="C765" s="37"/>
      <c r="D765" s="37"/>
    </row>
    <row r="766" spans="2:4" ht="15.75" customHeight="1" x14ac:dyDescent="0.25">
      <c r="B766" s="37"/>
      <c r="C766" s="37"/>
      <c r="D766" s="37"/>
    </row>
    <row r="767" spans="2:4" ht="15.75" customHeight="1" x14ac:dyDescent="0.25">
      <c r="B767" s="37"/>
      <c r="C767" s="37"/>
      <c r="D767" s="37"/>
    </row>
    <row r="768" spans="2:4" ht="15.75" customHeight="1" x14ac:dyDescent="0.25">
      <c r="B768" s="37"/>
      <c r="C768" s="37"/>
      <c r="D768" s="37"/>
    </row>
    <row r="769" spans="2:4" ht="15.75" customHeight="1" x14ac:dyDescent="0.25">
      <c r="B769" s="37"/>
      <c r="C769" s="37"/>
      <c r="D769" s="37"/>
    </row>
    <row r="770" spans="2:4" ht="15.75" customHeight="1" x14ac:dyDescent="0.25">
      <c r="B770" s="37"/>
      <c r="C770" s="37"/>
      <c r="D770" s="37"/>
    </row>
    <row r="771" spans="2:4" ht="15.75" customHeight="1" x14ac:dyDescent="0.25">
      <c r="B771" s="37"/>
      <c r="C771" s="37"/>
      <c r="D771" s="37"/>
    </row>
    <row r="772" spans="2:4" ht="15.75" customHeight="1" x14ac:dyDescent="0.25">
      <c r="B772" s="37"/>
      <c r="C772" s="37"/>
      <c r="D772" s="37"/>
    </row>
    <row r="773" spans="2:4" ht="15.75" customHeight="1" x14ac:dyDescent="0.25">
      <c r="B773" s="37"/>
      <c r="C773" s="37"/>
      <c r="D773" s="37"/>
    </row>
    <row r="774" spans="2:4" ht="15.75" customHeight="1" x14ac:dyDescent="0.25">
      <c r="B774" s="37"/>
      <c r="C774" s="37"/>
      <c r="D774" s="37"/>
    </row>
    <row r="775" spans="2:4" ht="15.75" customHeight="1" x14ac:dyDescent="0.25">
      <c r="B775" s="37"/>
      <c r="C775" s="37"/>
      <c r="D775" s="37"/>
    </row>
    <row r="776" spans="2:4" ht="15.75" customHeight="1" x14ac:dyDescent="0.25">
      <c r="B776" s="37"/>
      <c r="C776" s="37"/>
      <c r="D776" s="37"/>
    </row>
    <row r="777" spans="2:4" ht="15.75" customHeight="1" x14ac:dyDescent="0.25">
      <c r="B777" s="37"/>
      <c r="C777" s="37"/>
      <c r="D777" s="37"/>
    </row>
    <row r="778" spans="2:4" ht="15.75" customHeight="1" x14ac:dyDescent="0.25">
      <c r="B778" s="37"/>
      <c r="C778" s="37"/>
      <c r="D778" s="37"/>
    </row>
    <row r="779" spans="2:4" ht="15.75" customHeight="1" x14ac:dyDescent="0.25">
      <c r="B779" s="37"/>
      <c r="C779" s="37"/>
      <c r="D779" s="37"/>
    </row>
    <row r="780" spans="2:4" ht="15.75" customHeight="1" x14ac:dyDescent="0.25">
      <c r="B780" s="37"/>
      <c r="C780" s="37"/>
      <c r="D780" s="37"/>
    </row>
    <row r="781" spans="2:4" ht="15.75" customHeight="1" x14ac:dyDescent="0.25">
      <c r="B781" s="37"/>
      <c r="C781" s="37"/>
      <c r="D781" s="37"/>
    </row>
    <row r="782" spans="2:4" ht="15.75" customHeight="1" x14ac:dyDescent="0.25">
      <c r="B782" s="37"/>
      <c r="C782" s="37"/>
      <c r="D782" s="37"/>
    </row>
    <row r="783" spans="2:4" ht="15.75" customHeight="1" x14ac:dyDescent="0.25">
      <c r="B783" s="37"/>
      <c r="C783" s="37"/>
      <c r="D783" s="37"/>
    </row>
    <row r="784" spans="2:4" ht="15.75" customHeight="1" x14ac:dyDescent="0.25">
      <c r="B784" s="37"/>
      <c r="C784" s="37"/>
      <c r="D784" s="37"/>
    </row>
    <row r="785" spans="2:4" ht="15.75" customHeight="1" x14ac:dyDescent="0.25">
      <c r="B785" s="37"/>
      <c r="C785" s="37"/>
      <c r="D785" s="37"/>
    </row>
    <row r="786" spans="2:4" ht="15.75" customHeight="1" x14ac:dyDescent="0.25">
      <c r="B786" s="37"/>
      <c r="C786" s="37"/>
      <c r="D786" s="37"/>
    </row>
    <row r="787" spans="2:4" ht="15.75" customHeight="1" x14ac:dyDescent="0.25">
      <c r="B787" s="37"/>
      <c r="C787" s="37"/>
      <c r="D787" s="37"/>
    </row>
    <row r="788" spans="2:4" ht="15.75" customHeight="1" x14ac:dyDescent="0.25">
      <c r="B788" s="37"/>
      <c r="C788" s="37"/>
      <c r="D788" s="37"/>
    </row>
    <row r="789" spans="2:4" ht="15.75" customHeight="1" x14ac:dyDescent="0.25">
      <c r="B789" s="37"/>
      <c r="C789" s="37"/>
      <c r="D789" s="37"/>
    </row>
    <row r="790" spans="2:4" ht="15.75" customHeight="1" x14ac:dyDescent="0.25">
      <c r="B790" s="37"/>
      <c r="C790" s="37"/>
      <c r="D790" s="37"/>
    </row>
    <row r="791" spans="2:4" ht="15.75" customHeight="1" x14ac:dyDescent="0.25">
      <c r="B791" s="37"/>
      <c r="C791" s="37"/>
      <c r="D791" s="37"/>
    </row>
    <row r="792" spans="2:4" ht="15.75" customHeight="1" x14ac:dyDescent="0.25">
      <c r="B792" s="37"/>
      <c r="C792" s="37"/>
      <c r="D792" s="37"/>
    </row>
    <row r="793" spans="2:4" ht="15.75" customHeight="1" x14ac:dyDescent="0.25">
      <c r="B793" s="37"/>
      <c r="C793" s="37"/>
      <c r="D793" s="37"/>
    </row>
    <row r="794" spans="2:4" ht="15.75" customHeight="1" x14ac:dyDescent="0.25">
      <c r="B794" s="37"/>
      <c r="C794" s="37"/>
      <c r="D794" s="37"/>
    </row>
    <row r="795" spans="2:4" ht="15.75" customHeight="1" x14ac:dyDescent="0.25">
      <c r="B795" s="37"/>
      <c r="C795" s="37"/>
      <c r="D795" s="37"/>
    </row>
    <row r="796" spans="2:4" ht="15.75" customHeight="1" x14ac:dyDescent="0.25">
      <c r="B796" s="37"/>
      <c r="C796" s="37"/>
      <c r="D796" s="37"/>
    </row>
    <row r="797" spans="2:4" ht="15.75" customHeight="1" x14ac:dyDescent="0.25">
      <c r="B797" s="37"/>
      <c r="C797" s="37"/>
      <c r="D797" s="37"/>
    </row>
    <row r="798" spans="2:4" ht="15.75" customHeight="1" x14ac:dyDescent="0.25">
      <c r="B798" s="37"/>
      <c r="C798" s="37"/>
      <c r="D798" s="37"/>
    </row>
    <row r="799" spans="2:4" ht="15.75" customHeight="1" x14ac:dyDescent="0.25">
      <c r="B799" s="37"/>
      <c r="C799" s="37"/>
      <c r="D799" s="37"/>
    </row>
    <row r="800" spans="2:4" ht="15.75" customHeight="1" x14ac:dyDescent="0.25">
      <c r="B800" s="37"/>
      <c r="C800" s="37"/>
      <c r="D800" s="37"/>
    </row>
    <row r="801" spans="2:4" ht="15.75" customHeight="1" x14ac:dyDescent="0.25">
      <c r="B801" s="37"/>
      <c r="C801" s="37"/>
      <c r="D801" s="37"/>
    </row>
    <row r="802" spans="2:4" ht="15.75" customHeight="1" x14ac:dyDescent="0.25">
      <c r="B802" s="37"/>
      <c r="C802" s="37"/>
      <c r="D802" s="37"/>
    </row>
    <row r="803" spans="2:4" ht="15.75" customHeight="1" x14ac:dyDescent="0.25">
      <c r="B803" s="37"/>
      <c r="C803" s="37"/>
      <c r="D803" s="37"/>
    </row>
    <row r="804" spans="2:4" ht="15.75" customHeight="1" x14ac:dyDescent="0.25">
      <c r="B804" s="37"/>
      <c r="C804" s="37"/>
      <c r="D804" s="37"/>
    </row>
    <row r="805" spans="2:4" ht="15.75" customHeight="1" x14ac:dyDescent="0.25">
      <c r="B805" s="37"/>
      <c r="C805" s="37"/>
      <c r="D805" s="37"/>
    </row>
    <row r="806" spans="2:4" ht="15.75" customHeight="1" x14ac:dyDescent="0.25">
      <c r="B806" s="37"/>
      <c r="C806" s="37"/>
      <c r="D806" s="37"/>
    </row>
    <row r="807" spans="2:4" ht="15.75" customHeight="1" x14ac:dyDescent="0.25">
      <c r="B807" s="37"/>
      <c r="C807" s="37"/>
      <c r="D807" s="37"/>
    </row>
    <row r="808" spans="2:4" ht="15.75" customHeight="1" x14ac:dyDescent="0.25">
      <c r="B808" s="37"/>
      <c r="C808" s="37"/>
      <c r="D808" s="37"/>
    </row>
    <row r="809" spans="2:4" ht="15.75" customHeight="1" x14ac:dyDescent="0.25">
      <c r="B809" s="37"/>
      <c r="C809" s="37"/>
      <c r="D809" s="37"/>
    </row>
    <row r="810" spans="2:4" ht="15.75" customHeight="1" x14ac:dyDescent="0.25">
      <c r="B810" s="37"/>
      <c r="C810" s="37"/>
      <c r="D810" s="37"/>
    </row>
    <row r="811" spans="2:4" ht="15.75" customHeight="1" x14ac:dyDescent="0.25">
      <c r="B811" s="37"/>
      <c r="C811" s="37"/>
      <c r="D811" s="37"/>
    </row>
    <row r="812" spans="2:4" ht="15.75" customHeight="1" x14ac:dyDescent="0.25">
      <c r="B812" s="37"/>
      <c r="C812" s="37"/>
      <c r="D812" s="37"/>
    </row>
    <row r="813" spans="2:4" ht="15.75" customHeight="1" x14ac:dyDescent="0.25">
      <c r="B813" s="37"/>
      <c r="C813" s="37"/>
      <c r="D813" s="37"/>
    </row>
    <row r="814" spans="2:4" ht="15.75" customHeight="1" x14ac:dyDescent="0.25">
      <c r="B814" s="37"/>
      <c r="C814" s="37"/>
      <c r="D814" s="37"/>
    </row>
    <row r="815" spans="2:4" ht="15.75" customHeight="1" x14ac:dyDescent="0.25">
      <c r="B815" s="37"/>
      <c r="C815" s="37"/>
      <c r="D815" s="37"/>
    </row>
    <row r="816" spans="2:4" ht="15.75" customHeight="1" x14ac:dyDescent="0.25">
      <c r="B816" s="37"/>
      <c r="C816" s="37"/>
      <c r="D816" s="37"/>
    </row>
    <row r="817" spans="2:4" ht="15.75" customHeight="1" x14ac:dyDescent="0.25">
      <c r="B817" s="37"/>
      <c r="C817" s="37"/>
      <c r="D817" s="37"/>
    </row>
    <row r="818" spans="2:4" ht="15.75" customHeight="1" x14ac:dyDescent="0.25">
      <c r="B818" s="37"/>
      <c r="C818" s="37"/>
      <c r="D818" s="37"/>
    </row>
    <row r="819" spans="2:4" ht="15.75" customHeight="1" x14ac:dyDescent="0.25">
      <c r="B819" s="37"/>
      <c r="C819" s="37"/>
      <c r="D819" s="37"/>
    </row>
    <row r="820" spans="2:4" ht="15.75" customHeight="1" x14ac:dyDescent="0.25">
      <c r="B820" s="37"/>
      <c r="C820" s="37"/>
      <c r="D820" s="37"/>
    </row>
    <row r="821" spans="2:4" ht="15.75" customHeight="1" x14ac:dyDescent="0.25">
      <c r="B821" s="37"/>
      <c r="C821" s="37"/>
      <c r="D821" s="37"/>
    </row>
    <row r="822" spans="2:4" ht="15.75" customHeight="1" x14ac:dyDescent="0.25">
      <c r="B822" s="37"/>
      <c r="C822" s="37"/>
      <c r="D822" s="37"/>
    </row>
    <row r="823" spans="2:4" ht="15.75" customHeight="1" x14ac:dyDescent="0.25">
      <c r="B823" s="37"/>
      <c r="C823" s="37"/>
      <c r="D823" s="37"/>
    </row>
    <row r="824" spans="2:4" ht="15.75" customHeight="1" x14ac:dyDescent="0.25">
      <c r="B824" s="37"/>
      <c r="C824" s="37"/>
      <c r="D824" s="37"/>
    </row>
    <row r="825" spans="2:4" ht="15.75" customHeight="1" x14ac:dyDescent="0.25">
      <c r="B825" s="37"/>
      <c r="C825" s="37"/>
      <c r="D825" s="37"/>
    </row>
    <row r="826" spans="2:4" ht="15.75" customHeight="1" x14ac:dyDescent="0.25">
      <c r="B826" s="37"/>
      <c r="C826" s="37"/>
      <c r="D826" s="37"/>
    </row>
    <row r="827" spans="2:4" ht="15.75" customHeight="1" x14ac:dyDescent="0.25">
      <c r="B827" s="37"/>
      <c r="C827" s="37"/>
      <c r="D827" s="37"/>
    </row>
    <row r="828" spans="2:4" ht="15.75" customHeight="1" x14ac:dyDescent="0.25">
      <c r="B828" s="37"/>
      <c r="C828" s="37"/>
      <c r="D828" s="37"/>
    </row>
    <row r="829" spans="2:4" ht="15.75" customHeight="1" x14ac:dyDescent="0.25">
      <c r="B829" s="37"/>
      <c r="C829" s="37"/>
      <c r="D829" s="37"/>
    </row>
    <row r="830" spans="2:4" ht="15.75" customHeight="1" x14ac:dyDescent="0.25">
      <c r="B830" s="37"/>
      <c r="C830" s="37"/>
      <c r="D830" s="37"/>
    </row>
    <row r="831" spans="2:4" ht="15.75" customHeight="1" x14ac:dyDescent="0.25">
      <c r="B831" s="37"/>
      <c r="C831" s="37"/>
      <c r="D831" s="37"/>
    </row>
    <row r="832" spans="2:4" ht="15.75" customHeight="1" x14ac:dyDescent="0.25">
      <c r="B832" s="37"/>
      <c r="C832" s="37"/>
      <c r="D832" s="37"/>
    </row>
    <row r="833" spans="2:4" ht="15.75" customHeight="1" x14ac:dyDescent="0.25">
      <c r="B833" s="37"/>
      <c r="C833" s="37"/>
      <c r="D833" s="37"/>
    </row>
    <row r="834" spans="2:4" ht="15.75" customHeight="1" x14ac:dyDescent="0.25">
      <c r="B834" s="37"/>
      <c r="C834" s="37"/>
      <c r="D834" s="37"/>
    </row>
    <row r="835" spans="2:4" ht="15.75" customHeight="1" x14ac:dyDescent="0.25">
      <c r="B835" s="37"/>
      <c r="C835" s="37"/>
      <c r="D835" s="37"/>
    </row>
    <row r="836" spans="2:4" ht="15.75" customHeight="1" x14ac:dyDescent="0.25">
      <c r="B836" s="37"/>
      <c r="C836" s="37"/>
      <c r="D836" s="37"/>
    </row>
    <row r="837" spans="2:4" ht="15.75" customHeight="1" x14ac:dyDescent="0.25">
      <c r="B837" s="37"/>
      <c r="C837" s="37"/>
      <c r="D837" s="37"/>
    </row>
    <row r="838" spans="2:4" ht="15.75" customHeight="1" x14ac:dyDescent="0.25">
      <c r="B838" s="37"/>
      <c r="C838" s="37"/>
      <c r="D838" s="37"/>
    </row>
    <row r="839" spans="2:4" ht="15.75" customHeight="1" x14ac:dyDescent="0.25">
      <c r="B839" s="37"/>
      <c r="C839" s="37"/>
      <c r="D839" s="37"/>
    </row>
    <row r="840" spans="2:4" ht="15.75" customHeight="1" x14ac:dyDescent="0.25">
      <c r="B840" s="37"/>
      <c r="C840" s="37"/>
      <c r="D840" s="37"/>
    </row>
    <row r="841" spans="2:4" ht="15.75" customHeight="1" x14ac:dyDescent="0.25">
      <c r="B841" s="37"/>
      <c r="C841" s="37"/>
      <c r="D841" s="37"/>
    </row>
    <row r="842" spans="2:4" ht="15.75" customHeight="1" x14ac:dyDescent="0.25">
      <c r="B842" s="37"/>
      <c r="C842" s="37"/>
      <c r="D842" s="37"/>
    </row>
    <row r="843" spans="2:4" ht="15.75" customHeight="1" x14ac:dyDescent="0.25">
      <c r="B843" s="37"/>
      <c r="C843" s="37"/>
      <c r="D843" s="37"/>
    </row>
    <row r="844" spans="2:4" ht="15.75" customHeight="1" x14ac:dyDescent="0.25">
      <c r="B844" s="37"/>
      <c r="C844" s="37"/>
      <c r="D844" s="37"/>
    </row>
    <row r="845" spans="2:4" ht="15.75" customHeight="1" x14ac:dyDescent="0.25">
      <c r="B845" s="37"/>
      <c r="C845" s="37"/>
      <c r="D845" s="37"/>
    </row>
    <row r="846" spans="2:4" ht="15.75" customHeight="1" x14ac:dyDescent="0.25">
      <c r="B846" s="37"/>
      <c r="C846" s="37"/>
      <c r="D846" s="37"/>
    </row>
    <row r="847" spans="2:4" ht="15.75" customHeight="1" x14ac:dyDescent="0.25">
      <c r="B847" s="37"/>
      <c r="C847" s="37"/>
      <c r="D847" s="37"/>
    </row>
    <row r="848" spans="2:4" ht="15.75" customHeight="1" x14ac:dyDescent="0.25">
      <c r="B848" s="37"/>
      <c r="C848" s="37"/>
      <c r="D848" s="37"/>
    </row>
    <row r="849" spans="2:4" ht="15.75" customHeight="1" x14ac:dyDescent="0.25">
      <c r="B849" s="37"/>
      <c r="C849" s="37"/>
      <c r="D849" s="37"/>
    </row>
    <row r="850" spans="2:4" ht="15.75" customHeight="1" x14ac:dyDescent="0.25">
      <c r="B850" s="37"/>
      <c r="C850" s="37"/>
      <c r="D850" s="37"/>
    </row>
    <row r="851" spans="2:4" ht="15.75" customHeight="1" x14ac:dyDescent="0.25">
      <c r="B851" s="37"/>
      <c r="C851" s="37"/>
      <c r="D851" s="37"/>
    </row>
    <row r="852" spans="2:4" ht="15.75" customHeight="1" x14ac:dyDescent="0.25">
      <c r="B852" s="37"/>
      <c r="C852" s="37"/>
      <c r="D852" s="37"/>
    </row>
    <row r="853" spans="2:4" ht="15.75" customHeight="1" x14ac:dyDescent="0.25">
      <c r="B853" s="37"/>
      <c r="C853" s="37"/>
      <c r="D853" s="37"/>
    </row>
    <row r="854" spans="2:4" ht="15.75" customHeight="1" x14ac:dyDescent="0.25">
      <c r="B854" s="37"/>
      <c r="C854" s="37"/>
      <c r="D854" s="37"/>
    </row>
    <row r="855" spans="2:4" ht="15.75" customHeight="1" x14ac:dyDescent="0.25">
      <c r="B855" s="37"/>
      <c r="C855" s="37"/>
      <c r="D855" s="37"/>
    </row>
    <row r="856" spans="2:4" ht="15.75" customHeight="1" x14ac:dyDescent="0.25">
      <c r="B856" s="37"/>
      <c r="C856" s="37"/>
      <c r="D856" s="37"/>
    </row>
    <row r="857" spans="2:4" ht="15.75" customHeight="1" x14ac:dyDescent="0.25">
      <c r="B857" s="37"/>
      <c r="C857" s="37"/>
      <c r="D857" s="37"/>
    </row>
    <row r="858" spans="2:4" ht="15.75" customHeight="1" x14ac:dyDescent="0.25">
      <c r="B858" s="37"/>
      <c r="C858" s="37"/>
      <c r="D858" s="37"/>
    </row>
    <row r="859" spans="2:4" ht="15.75" customHeight="1" x14ac:dyDescent="0.25">
      <c r="B859" s="37"/>
      <c r="C859" s="37"/>
      <c r="D859" s="37"/>
    </row>
    <row r="860" spans="2:4" ht="15.75" customHeight="1" x14ac:dyDescent="0.25">
      <c r="B860" s="37"/>
      <c r="C860" s="37"/>
      <c r="D860" s="37"/>
    </row>
    <row r="861" spans="2:4" ht="15.75" customHeight="1" x14ac:dyDescent="0.25">
      <c r="B861" s="37"/>
      <c r="C861" s="37"/>
      <c r="D861" s="37"/>
    </row>
    <row r="862" spans="2:4" ht="15.75" customHeight="1" x14ac:dyDescent="0.25">
      <c r="B862" s="37"/>
      <c r="C862" s="37"/>
      <c r="D862" s="37"/>
    </row>
    <row r="863" spans="2:4" ht="15.75" customHeight="1" x14ac:dyDescent="0.25">
      <c r="B863" s="37"/>
      <c r="C863" s="37"/>
      <c r="D863" s="37"/>
    </row>
    <row r="864" spans="2:4" ht="15.75" customHeight="1" x14ac:dyDescent="0.25">
      <c r="B864" s="37"/>
      <c r="C864" s="37"/>
      <c r="D864" s="37"/>
    </row>
    <row r="865" spans="2:4" ht="15.75" customHeight="1" x14ac:dyDescent="0.25">
      <c r="B865" s="37"/>
      <c r="C865" s="37"/>
      <c r="D865" s="37"/>
    </row>
    <row r="866" spans="2:4" ht="15.75" customHeight="1" x14ac:dyDescent="0.25">
      <c r="B866" s="37"/>
      <c r="C866" s="37"/>
      <c r="D866" s="37"/>
    </row>
    <row r="867" spans="2:4" ht="15.75" customHeight="1" x14ac:dyDescent="0.25">
      <c r="B867" s="37"/>
      <c r="C867" s="37"/>
      <c r="D867" s="37"/>
    </row>
    <row r="868" spans="2:4" ht="15.75" customHeight="1" x14ac:dyDescent="0.25">
      <c r="B868" s="37"/>
      <c r="C868" s="37"/>
      <c r="D868" s="37"/>
    </row>
    <row r="869" spans="2:4" ht="15.75" customHeight="1" x14ac:dyDescent="0.25">
      <c r="B869" s="37"/>
      <c r="C869" s="37"/>
      <c r="D869" s="37"/>
    </row>
    <row r="870" spans="2:4" ht="15.75" customHeight="1" x14ac:dyDescent="0.25">
      <c r="B870" s="37"/>
      <c r="C870" s="37"/>
      <c r="D870" s="37"/>
    </row>
    <row r="871" spans="2:4" ht="15.75" customHeight="1" x14ac:dyDescent="0.25">
      <c r="B871" s="37"/>
      <c r="C871" s="37"/>
      <c r="D871" s="37"/>
    </row>
    <row r="872" spans="2:4" ht="15.75" customHeight="1" x14ac:dyDescent="0.25">
      <c r="B872" s="37"/>
      <c r="C872" s="37"/>
      <c r="D872" s="37"/>
    </row>
    <row r="873" spans="2:4" ht="15.75" customHeight="1" x14ac:dyDescent="0.25">
      <c r="B873" s="37"/>
      <c r="C873" s="37"/>
      <c r="D873" s="37"/>
    </row>
    <row r="874" spans="2:4" ht="15.75" customHeight="1" x14ac:dyDescent="0.25">
      <c r="B874" s="37"/>
      <c r="C874" s="37"/>
      <c r="D874" s="37"/>
    </row>
    <row r="875" spans="2:4" ht="15.75" customHeight="1" x14ac:dyDescent="0.25">
      <c r="B875" s="37"/>
      <c r="C875" s="37"/>
      <c r="D875" s="37"/>
    </row>
    <row r="876" spans="2:4" ht="15.75" customHeight="1" x14ac:dyDescent="0.25">
      <c r="B876" s="37"/>
      <c r="C876" s="37"/>
      <c r="D876" s="37"/>
    </row>
    <row r="877" spans="2:4" ht="15.75" customHeight="1" x14ac:dyDescent="0.25">
      <c r="B877" s="37"/>
      <c r="C877" s="37"/>
      <c r="D877" s="37"/>
    </row>
    <row r="878" spans="2:4" ht="15.75" customHeight="1" x14ac:dyDescent="0.25">
      <c r="B878" s="37"/>
      <c r="C878" s="37"/>
      <c r="D878" s="37"/>
    </row>
    <row r="879" spans="2:4" ht="15.75" customHeight="1" x14ac:dyDescent="0.25">
      <c r="B879" s="37"/>
      <c r="C879" s="37"/>
      <c r="D879" s="37"/>
    </row>
    <row r="880" spans="2:4" ht="15.75" customHeight="1" x14ac:dyDescent="0.25">
      <c r="B880" s="37"/>
      <c r="C880" s="37"/>
      <c r="D880" s="37"/>
    </row>
    <row r="881" spans="2:4" ht="15.75" customHeight="1" x14ac:dyDescent="0.25">
      <c r="B881" s="37"/>
      <c r="C881" s="37"/>
      <c r="D881" s="37"/>
    </row>
    <row r="882" spans="2:4" ht="15.75" customHeight="1" x14ac:dyDescent="0.25">
      <c r="B882" s="37"/>
      <c r="C882" s="37"/>
      <c r="D882" s="37"/>
    </row>
    <row r="883" spans="2:4" ht="15.75" customHeight="1" x14ac:dyDescent="0.25">
      <c r="B883" s="37"/>
      <c r="C883" s="37"/>
      <c r="D883" s="37"/>
    </row>
    <row r="884" spans="2:4" ht="15.75" customHeight="1" x14ac:dyDescent="0.25">
      <c r="B884" s="37"/>
      <c r="C884" s="37"/>
      <c r="D884" s="37"/>
    </row>
    <row r="885" spans="2:4" ht="15.75" customHeight="1" x14ac:dyDescent="0.25">
      <c r="B885" s="37"/>
      <c r="C885" s="37"/>
      <c r="D885" s="37"/>
    </row>
    <row r="886" spans="2:4" ht="15.75" customHeight="1" x14ac:dyDescent="0.25">
      <c r="B886" s="37"/>
      <c r="C886" s="37"/>
      <c r="D886" s="37"/>
    </row>
    <row r="887" spans="2:4" ht="15.75" customHeight="1" x14ac:dyDescent="0.25">
      <c r="B887" s="37"/>
      <c r="C887" s="37"/>
      <c r="D887" s="37"/>
    </row>
    <row r="888" spans="2:4" ht="15.75" customHeight="1" x14ac:dyDescent="0.25">
      <c r="B888" s="37"/>
      <c r="C888" s="37"/>
      <c r="D888" s="37"/>
    </row>
    <row r="889" spans="2:4" ht="15.75" customHeight="1" x14ac:dyDescent="0.25">
      <c r="B889" s="37"/>
      <c r="C889" s="37"/>
      <c r="D889" s="37"/>
    </row>
    <row r="890" spans="2:4" ht="15.75" customHeight="1" x14ac:dyDescent="0.25">
      <c r="B890" s="37"/>
      <c r="C890" s="37"/>
      <c r="D890" s="37"/>
    </row>
    <row r="891" spans="2:4" ht="15.75" customHeight="1" x14ac:dyDescent="0.25">
      <c r="B891" s="37"/>
      <c r="C891" s="37"/>
      <c r="D891" s="37"/>
    </row>
    <row r="892" spans="2:4" ht="15.75" customHeight="1" x14ac:dyDescent="0.25">
      <c r="B892" s="37"/>
      <c r="C892" s="37"/>
      <c r="D892" s="37"/>
    </row>
    <row r="893" spans="2:4" ht="15.75" customHeight="1" x14ac:dyDescent="0.25">
      <c r="B893" s="37"/>
      <c r="C893" s="37"/>
      <c r="D893" s="37"/>
    </row>
    <row r="894" spans="2:4" ht="15.75" customHeight="1" x14ac:dyDescent="0.25">
      <c r="B894" s="37"/>
      <c r="C894" s="37"/>
      <c r="D894" s="37"/>
    </row>
    <row r="895" spans="2:4" ht="15.75" customHeight="1" x14ac:dyDescent="0.25">
      <c r="B895" s="37"/>
      <c r="C895" s="37"/>
      <c r="D895" s="37"/>
    </row>
    <row r="896" spans="2:4" ht="15.75" customHeight="1" x14ac:dyDescent="0.25">
      <c r="B896" s="37"/>
      <c r="C896" s="37"/>
      <c r="D896" s="37"/>
    </row>
    <row r="897" spans="2:4" ht="15.75" customHeight="1" x14ac:dyDescent="0.25">
      <c r="B897" s="37"/>
      <c r="C897" s="37"/>
      <c r="D897" s="37"/>
    </row>
    <row r="898" spans="2:4" ht="15.75" customHeight="1" x14ac:dyDescent="0.25">
      <c r="B898" s="37"/>
      <c r="C898" s="37"/>
      <c r="D898" s="37"/>
    </row>
    <row r="899" spans="2:4" ht="15.75" customHeight="1" x14ac:dyDescent="0.25">
      <c r="B899" s="37"/>
      <c r="C899" s="37"/>
      <c r="D899" s="37"/>
    </row>
    <row r="900" spans="2:4" ht="15.75" customHeight="1" x14ac:dyDescent="0.25">
      <c r="B900" s="37"/>
      <c r="C900" s="37"/>
      <c r="D900" s="37"/>
    </row>
    <row r="901" spans="2:4" ht="15.75" customHeight="1" x14ac:dyDescent="0.25">
      <c r="B901" s="37"/>
      <c r="C901" s="37"/>
      <c r="D901" s="37"/>
    </row>
    <row r="902" spans="2:4" ht="15.75" customHeight="1" x14ac:dyDescent="0.25">
      <c r="B902" s="37"/>
      <c r="C902" s="37"/>
      <c r="D902" s="37"/>
    </row>
    <row r="903" spans="2:4" ht="15.75" customHeight="1" x14ac:dyDescent="0.25">
      <c r="B903" s="37"/>
      <c r="C903" s="37"/>
      <c r="D903" s="37"/>
    </row>
    <row r="904" spans="2:4" ht="15.75" customHeight="1" x14ac:dyDescent="0.25">
      <c r="B904" s="37"/>
      <c r="C904" s="37"/>
      <c r="D904" s="37"/>
    </row>
    <row r="905" spans="2:4" ht="15.75" customHeight="1" x14ac:dyDescent="0.25">
      <c r="B905" s="37"/>
      <c r="C905" s="37"/>
      <c r="D905" s="37"/>
    </row>
    <row r="906" spans="2:4" ht="15.75" customHeight="1" x14ac:dyDescent="0.25">
      <c r="B906" s="37"/>
      <c r="C906" s="37"/>
      <c r="D906" s="37"/>
    </row>
    <row r="907" spans="2:4" ht="15.75" customHeight="1" x14ac:dyDescent="0.25">
      <c r="B907" s="37"/>
      <c r="C907" s="37"/>
      <c r="D907" s="37"/>
    </row>
    <row r="908" spans="2:4" ht="15.75" customHeight="1" x14ac:dyDescent="0.25">
      <c r="B908" s="37"/>
      <c r="C908" s="37"/>
      <c r="D908" s="37"/>
    </row>
    <row r="909" spans="2:4" ht="15.75" customHeight="1" x14ac:dyDescent="0.25">
      <c r="B909" s="37"/>
      <c r="C909" s="37"/>
      <c r="D909" s="37"/>
    </row>
    <row r="910" spans="2:4" ht="15.75" customHeight="1" x14ac:dyDescent="0.25">
      <c r="B910" s="37"/>
      <c r="C910" s="37"/>
      <c r="D910" s="37"/>
    </row>
    <row r="911" spans="2:4" ht="15.75" customHeight="1" x14ac:dyDescent="0.25">
      <c r="B911" s="37"/>
      <c r="C911" s="37"/>
      <c r="D911" s="37"/>
    </row>
    <row r="912" spans="2:4" ht="15.75" customHeight="1" x14ac:dyDescent="0.25">
      <c r="B912" s="37"/>
      <c r="C912" s="37"/>
      <c r="D912" s="37"/>
    </row>
    <row r="913" spans="2:4" ht="15.75" customHeight="1" x14ac:dyDescent="0.25">
      <c r="B913" s="37"/>
      <c r="C913" s="37"/>
      <c r="D913" s="37"/>
    </row>
    <row r="914" spans="2:4" ht="15.75" customHeight="1" x14ac:dyDescent="0.25">
      <c r="B914" s="37"/>
      <c r="C914" s="37"/>
      <c r="D914" s="37"/>
    </row>
    <row r="915" spans="2:4" ht="15.75" customHeight="1" x14ac:dyDescent="0.25">
      <c r="B915" s="37"/>
      <c r="C915" s="37"/>
      <c r="D915" s="37"/>
    </row>
    <row r="916" spans="2:4" ht="15.75" customHeight="1" x14ac:dyDescent="0.25">
      <c r="B916" s="37"/>
      <c r="C916" s="37"/>
      <c r="D916" s="37"/>
    </row>
    <row r="917" spans="2:4" ht="15.75" customHeight="1" x14ac:dyDescent="0.25">
      <c r="B917" s="37"/>
      <c r="C917" s="37"/>
      <c r="D917" s="37"/>
    </row>
    <row r="918" spans="2:4" ht="15.75" customHeight="1" x14ac:dyDescent="0.25">
      <c r="B918" s="37"/>
      <c r="C918" s="37"/>
      <c r="D918" s="37"/>
    </row>
    <row r="919" spans="2:4" ht="15.75" customHeight="1" x14ac:dyDescent="0.25">
      <c r="B919" s="37"/>
      <c r="C919" s="37"/>
      <c r="D919" s="37"/>
    </row>
    <row r="920" spans="2:4" ht="15.75" customHeight="1" x14ac:dyDescent="0.25">
      <c r="B920" s="37"/>
      <c r="C920" s="37"/>
      <c r="D920" s="37"/>
    </row>
    <row r="921" spans="2:4" ht="15.75" customHeight="1" x14ac:dyDescent="0.25">
      <c r="B921" s="37"/>
      <c r="C921" s="37"/>
      <c r="D921" s="37"/>
    </row>
    <row r="922" spans="2:4" ht="15.75" customHeight="1" x14ac:dyDescent="0.25">
      <c r="B922" s="37"/>
      <c r="C922" s="37"/>
      <c r="D922" s="37"/>
    </row>
    <row r="923" spans="2:4" ht="15.75" customHeight="1" x14ac:dyDescent="0.25">
      <c r="B923" s="37"/>
      <c r="C923" s="37"/>
      <c r="D923" s="37"/>
    </row>
    <row r="924" spans="2:4" ht="15.75" customHeight="1" x14ac:dyDescent="0.25">
      <c r="B924" s="37"/>
      <c r="C924" s="37"/>
      <c r="D924" s="37"/>
    </row>
    <row r="925" spans="2:4" ht="15.75" customHeight="1" x14ac:dyDescent="0.25">
      <c r="B925" s="37"/>
      <c r="C925" s="37"/>
      <c r="D925" s="37"/>
    </row>
    <row r="926" spans="2:4" ht="15.75" customHeight="1" x14ac:dyDescent="0.25">
      <c r="B926" s="37"/>
      <c r="C926" s="37"/>
      <c r="D926" s="37"/>
    </row>
    <row r="927" spans="2:4" ht="15.75" customHeight="1" x14ac:dyDescent="0.25">
      <c r="B927" s="37"/>
      <c r="C927" s="37"/>
      <c r="D927" s="37"/>
    </row>
    <row r="928" spans="2:4" ht="15.75" customHeight="1" x14ac:dyDescent="0.25">
      <c r="B928" s="37"/>
      <c r="C928" s="37"/>
      <c r="D928" s="37"/>
    </row>
    <row r="929" spans="2:4" ht="15.75" customHeight="1" x14ac:dyDescent="0.25">
      <c r="B929" s="37"/>
      <c r="C929" s="37"/>
      <c r="D929" s="37"/>
    </row>
    <row r="930" spans="2:4" ht="15.75" customHeight="1" x14ac:dyDescent="0.25">
      <c r="B930" s="37"/>
      <c r="C930" s="37"/>
      <c r="D930" s="37"/>
    </row>
    <row r="931" spans="2:4" ht="15.75" customHeight="1" x14ac:dyDescent="0.25">
      <c r="B931" s="37"/>
      <c r="C931" s="37"/>
      <c r="D931" s="37"/>
    </row>
    <row r="932" spans="2:4" ht="15.75" customHeight="1" x14ac:dyDescent="0.25">
      <c r="B932" s="37"/>
      <c r="C932" s="37"/>
      <c r="D932" s="37"/>
    </row>
    <row r="933" spans="2:4" ht="15.75" customHeight="1" x14ac:dyDescent="0.25">
      <c r="B933" s="37"/>
      <c r="C933" s="37"/>
      <c r="D933" s="37"/>
    </row>
    <row r="934" spans="2:4" ht="15.75" customHeight="1" x14ac:dyDescent="0.25">
      <c r="B934" s="37"/>
      <c r="C934" s="37"/>
      <c r="D934" s="37"/>
    </row>
    <row r="935" spans="2:4" ht="15.75" customHeight="1" x14ac:dyDescent="0.25">
      <c r="B935" s="37"/>
      <c r="C935" s="37"/>
      <c r="D935" s="37"/>
    </row>
    <row r="936" spans="2:4" ht="15.75" customHeight="1" x14ac:dyDescent="0.25">
      <c r="B936" s="37"/>
      <c r="C936" s="37"/>
      <c r="D936" s="37"/>
    </row>
    <row r="937" spans="2:4" ht="15.75" customHeight="1" x14ac:dyDescent="0.25">
      <c r="B937" s="37"/>
      <c r="C937" s="37"/>
      <c r="D937" s="37"/>
    </row>
    <row r="938" spans="2:4" ht="15.75" customHeight="1" x14ac:dyDescent="0.25">
      <c r="B938" s="37"/>
      <c r="C938" s="37"/>
      <c r="D938" s="37"/>
    </row>
    <row r="939" spans="2:4" ht="15.75" customHeight="1" x14ac:dyDescent="0.25">
      <c r="B939" s="37"/>
      <c r="C939" s="37"/>
      <c r="D939" s="37"/>
    </row>
    <row r="940" spans="2:4" ht="15.75" customHeight="1" x14ac:dyDescent="0.25">
      <c r="B940" s="37"/>
      <c r="C940" s="37"/>
      <c r="D940" s="37"/>
    </row>
    <row r="941" spans="2:4" ht="15.75" customHeight="1" x14ac:dyDescent="0.25">
      <c r="B941" s="37"/>
      <c r="C941" s="37"/>
      <c r="D941" s="37"/>
    </row>
    <row r="942" spans="2:4" ht="15.75" customHeight="1" x14ac:dyDescent="0.25">
      <c r="B942" s="37"/>
      <c r="C942" s="37"/>
      <c r="D942" s="37"/>
    </row>
    <row r="943" spans="2:4" ht="15.75" customHeight="1" x14ac:dyDescent="0.25">
      <c r="B943" s="37"/>
      <c r="C943" s="37"/>
      <c r="D943" s="37"/>
    </row>
    <row r="944" spans="2:4" ht="15.75" customHeight="1" x14ac:dyDescent="0.25">
      <c r="B944" s="37"/>
      <c r="C944" s="37"/>
      <c r="D944" s="37"/>
    </row>
    <row r="945" spans="2:4" ht="15.75" customHeight="1" x14ac:dyDescent="0.25">
      <c r="B945" s="37"/>
      <c r="C945" s="37"/>
      <c r="D945" s="37"/>
    </row>
    <row r="946" spans="2:4" ht="15.75" customHeight="1" x14ac:dyDescent="0.25">
      <c r="B946" s="37"/>
      <c r="C946" s="37"/>
      <c r="D946" s="37"/>
    </row>
    <row r="947" spans="2:4" ht="15.75" customHeight="1" x14ac:dyDescent="0.25">
      <c r="B947" s="37"/>
      <c r="C947" s="37"/>
      <c r="D947" s="37"/>
    </row>
    <row r="948" spans="2:4" ht="15.75" customHeight="1" x14ac:dyDescent="0.25">
      <c r="B948" s="37"/>
      <c r="C948" s="37"/>
      <c r="D948" s="37"/>
    </row>
    <row r="949" spans="2:4" ht="15.75" customHeight="1" x14ac:dyDescent="0.25">
      <c r="B949" s="37"/>
      <c r="C949" s="37"/>
      <c r="D949" s="37"/>
    </row>
    <row r="950" spans="2:4" ht="15.75" customHeight="1" x14ac:dyDescent="0.25">
      <c r="B950" s="37"/>
      <c r="C950" s="37"/>
      <c r="D950" s="37"/>
    </row>
    <row r="951" spans="2:4" ht="15.75" customHeight="1" x14ac:dyDescent="0.25">
      <c r="B951" s="37"/>
      <c r="C951" s="37"/>
      <c r="D951" s="37"/>
    </row>
    <row r="952" spans="2:4" ht="15.75" customHeight="1" x14ac:dyDescent="0.25">
      <c r="B952" s="37"/>
      <c r="C952" s="37"/>
      <c r="D952" s="37"/>
    </row>
    <row r="953" spans="2:4" ht="15.75" customHeight="1" x14ac:dyDescent="0.25">
      <c r="B953" s="37"/>
      <c r="C953" s="37"/>
      <c r="D953" s="37"/>
    </row>
    <row r="954" spans="2:4" ht="15.75" customHeight="1" x14ac:dyDescent="0.25">
      <c r="B954" s="37"/>
      <c r="C954" s="37"/>
      <c r="D954" s="37"/>
    </row>
    <row r="955" spans="2:4" ht="15.75" customHeight="1" x14ac:dyDescent="0.25">
      <c r="B955" s="37"/>
      <c r="C955" s="37"/>
      <c r="D955" s="37"/>
    </row>
    <row r="956" spans="2:4" ht="15.75" customHeight="1" x14ac:dyDescent="0.25">
      <c r="B956" s="37"/>
      <c r="C956" s="37"/>
      <c r="D956" s="37"/>
    </row>
    <row r="957" spans="2:4" ht="15.75" customHeight="1" x14ac:dyDescent="0.25">
      <c r="B957" s="37"/>
      <c r="C957" s="37"/>
      <c r="D957" s="37"/>
    </row>
    <row r="958" spans="2:4" ht="15.75" customHeight="1" x14ac:dyDescent="0.25">
      <c r="B958" s="37"/>
      <c r="C958" s="37"/>
      <c r="D958" s="37"/>
    </row>
    <row r="959" spans="2:4" ht="15.75" customHeight="1" x14ac:dyDescent="0.25">
      <c r="B959" s="37"/>
      <c r="C959" s="37"/>
      <c r="D959" s="37"/>
    </row>
    <row r="960" spans="2:4" ht="15.75" customHeight="1" x14ac:dyDescent="0.25">
      <c r="B960" s="37"/>
      <c r="C960" s="37"/>
      <c r="D960" s="37"/>
    </row>
    <row r="961" spans="2:4" ht="15.75" customHeight="1" x14ac:dyDescent="0.25">
      <c r="B961" s="37"/>
      <c r="C961" s="37"/>
      <c r="D961" s="37"/>
    </row>
    <row r="962" spans="2:4" ht="15.75" customHeight="1" x14ac:dyDescent="0.25">
      <c r="B962" s="37"/>
      <c r="C962" s="37"/>
      <c r="D962" s="37"/>
    </row>
    <row r="963" spans="2:4" ht="15.75" customHeight="1" x14ac:dyDescent="0.25">
      <c r="B963" s="37"/>
      <c r="C963" s="37"/>
      <c r="D963" s="37"/>
    </row>
    <row r="964" spans="2:4" ht="15.75" customHeight="1" x14ac:dyDescent="0.25">
      <c r="B964" s="37"/>
      <c r="C964" s="37"/>
      <c r="D964" s="37"/>
    </row>
  </sheetData>
  <sheetProtection algorithmName="SHA-512" hashValue="p39nLSIZF36hygj3qHd0Mhg8MLUz9xxjpR/PymhVSd41xVxY4sD0CZVomTMs3WQpObgn3+TYrLDk3D7syLWsOA==" saltValue="TxZhGceeSGoBTQ84UOEisA==" spinCount="100000" sheet="1" objects="1" scenarios="1"/>
  <mergeCells count="7">
    <mergeCell ref="C78:C79"/>
    <mergeCell ref="T78:Y79"/>
    <mergeCell ref="FU1:FX1"/>
    <mergeCell ref="B7:B8"/>
    <mergeCell ref="C7:C8"/>
    <mergeCell ref="D7:D8"/>
    <mergeCell ref="E7:FX7"/>
  </mergeCells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Trung Nguyen</cp:lastModifiedBy>
  <dcterms:created xsi:type="dcterms:W3CDTF">2022-06-27T07:20:27Z</dcterms:created>
  <dcterms:modified xsi:type="dcterms:W3CDTF">2024-08-01T07:16:16Z</dcterms:modified>
</cp:coreProperties>
</file>
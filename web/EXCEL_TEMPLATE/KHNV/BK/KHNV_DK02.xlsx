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urce_tree\IMS_REPORTS\build\web\EXCEL_TEMPLATE\KHNV\"/>
    </mc:Choice>
  </mc:AlternateContent>
  <bookViews>
    <workbookView xWindow="-108" yWindow="-108" windowWidth="30936" windowHeight="16776"/>
  </bookViews>
  <sheets>
    <sheet name="BIEU 02 -2023" sheetId="12" r:id="rId1"/>
  </sheets>
  <definedNames>
    <definedName name="_xlnm.Print_Area" localSheetId="0">'BIEU 02 -2023'!$A$1:$H$122</definedName>
    <definedName name="_xlnm.Print_Titles" localSheetId="0">'BIEU 02 -2023'!$7:$11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2" l="1"/>
  <c r="D23" i="12"/>
  <c r="E23" i="12"/>
  <c r="F23" i="12"/>
  <c r="G23" i="12"/>
  <c r="G115" i="12"/>
  <c r="H115" i="12" s="1"/>
  <c r="G114" i="12"/>
  <c r="H114" i="12" s="1"/>
  <c r="G113" i="12"/>
  <c r="H113" i="12" s="1"/>
  <c r="G112" i="12"/>
  <c r="H112" i="12" s="1"/>
  <c r="G111" i="12"/>
  <c r="H111" i="12" s="1"/>
  <c r="G110" i="12"/>
  <c r="H110" i="12" s="1"/>
  <c r="G109" i="12"/>
  <c r="H109" i="12" s="1"/>
  <c r="G108" i="12"/>
  <c r="H108" i="12" s="1"/>
  <c r="G107" i="12"/>
  <c r="H107" i="12" s="1"/>
  <c r="G106" i="12"/>
  <c r="H106" i="12" s="1"/>
  <c r="G105" i="12"/>
  <c r="H105" i="12" s="1"/>
  <c r="G104" i="12"/>
  <c r="H104" i="12" s="1"/>
  <c r="G103" i="12"/>
  <c r="H103" i="12" s="1"/>
  <c r="G102" i="12"/>
  <c r="H102" i="12" s="1"/>
  <c r="G101" i="12"/>
  <c r="H101" i="12" s="1"/>
  <c r="G100" i="12"/>
  <c r="H100" i="12" s="1"/>
  <c r="G99" i="12"/>
  <c r="H99" i="12" s="1"/>
  <c r="G98" i="12"/>
  <c r="H98" i="12" s="1"/>
  <c r="G97" i="12"/>
  <c r="H97" i="12" s="1"/>
  <c r="G96" i="12"/>
  <c r="H96" i="12" s="1"/>
  <c r="G95" i="12"/>
  <c r="H95" i="12" s="1"/>
  <c r="E15" i="12"/>
  <c r="F15" i="12"/>
  <c r="E52" i="12"/>
  <c r="F52" i="12"/>
  <c r="E61" i="12"/>
  <c r="F61" i="12"/>
  <c r="E67" i="12"/>
  <c r="F67" i="12"/>
  <c r="G94" i="12"/>
  <c r="H94" i="12" s="1"/>
  <c r="G93" i="12"/>
  <c r="H93" i="12" s="1"/>
  <c r="G92" i="12"/>
  <c r="H92" i="12" s="1"/>
  <c r="G91" i="12"/>
  <c r="H91" i="12" s="1"/>
  <c r="G90" i="12"/>
  <c r="H90" i="12" s="1"/>
  <c r="G89" i="12"/>
  <c r="H89" i="12" s="1"/>
  <c r="G88" i="12"/>
  <c r="H88" i="12" s="1"/>
  <c r="G87" i="12"/>
  <c r="H87" i="12" s="1"/>
  <c r="G86" i="12"/>
  <c r="H86" i="12" s="1"/>
  <c r="G85" i="12"/>
  <c r="H85" i="12" s="1"/>
  <c r="G84" i="12"/>
  <c r="H84" i="12" s="1"/>
  <c r="G83" i="12"/>
  <c r="H83" i="12" s="1"/>
  <c r="G82" i="12"/>
  <c r="H82" i="12" s="1"/>
  <c r="G81" i="12"/>
  <c r="H81" i="12" s="1"/>
  <c r="G80" i="12"/>
  <c r="H80" i="12" s="1"/>
  <c r="G79" i="12"/>
  <c r="H79" i="12" s="1"/>
  <c r="G78" i="12"/>
  <c r="H78" i="12" s="1"/>
  <c r="G77" i="12"/>
  <c r="H77" i="12" s="1"/>
  <c r="G76" i="12"/>
  <c r="H76" i="12" s="1"/>
  <c r="G75" i="12"/>
  <c r="H75" i="12" s="1"/>
  <c r="G74" i="12"/>
  <c r="H74" i="12" s="1"/>
  <c r="G73" i="12"/>
  <c r="H73" i="12" s="1"/>
  <c r="G72" i="12"/>
  <c r="H72" i="12" s="1"/>
  <c r="G71" i="12"/>
  <c r="H71" i="12" s="1"/>
  <c r="G70" i="12"/>
  <c r="H70" i="12" s="1"/>
  <c r="G69" i="12"/>
  <c r="H69" i="12" s="1"/>
  <c r="G68" i="12"/>
  <c r="H68" i="12" s="1"/>
  <c r="G66" i="12"/>
  <c r="H66" i="12" s="1"/>
  <c r="G65" i="12"/>
  <c r="H65" i="12" s="1"/>
  <c r="G64" i="12"/>
  <c r="G63" i="12"/>
  <c r="H63" i="12" s="1"/>
  <c r="G62" i="12"/>
  <c r="H62" i="12" s="1"/>
  <c r="G60" i="12"/>
  <c r="H60" i="12" s="1"/>
  <c r="G59" i="12"/>
  <c r="H59" i="12" s="1"/>
  <c r="G58" i="12"/>
  <c r="H58" i="12" s="1"/>
  <c r="G57" i="12"/>
  <c r="H57" i="12" s="1"/>
  <c r="G56" i="12"/>
  <c r="H56" i="12" s="1"/>
  <c r="G55" i="12"/>
  <c r="H55" i="12" s="1"/>
  <c r="G54" i="12"/>
  <c r="H54" i="12" s="1"/>
  <c r="G53" i="12"/>
  <c r="H53" i="12" s="1"/>
  <c r="G50" i="12"/>
  <c r="H50" i="12" s="1"/>
  <c r="G49" i="12"/>
  <c r="H49" i="12" s="1"/>
  <c r="G48" i="12"/>
  <c r="H48" i="12" s="1"/>
  <c r="G46" i="12"/>
  <c r="H46" i="12" s="1"/>
  <c r="G45" i="12"/>
  <c r="H45" i="12" s="1"/>
  <c r="G44" i="12"/>
  <c r="H44" i="12" s="1"/>
  <c r="G43" i="12"/>
  <c r="H43" i="12" s="1"/>
  <c r="G42" i="12"/>
  <c r="H42" i="12" s="1"/>
  <c r="G41" i="12"/>
  <c r="H41" i="12" s="1"/>
  <c r="G40" i="12"/>
  <c r="H40" i="12" s="1"/>
  <c r="G39" i="12"/>
  <c r="H39" i="12" s="1"/>
  <c r="G38" i="12"/>
  <c r="H38" i="12" s="1"/>
  <c r="G37" i="12"/>
  <c r="H37" i="12" s="1"/>
  <c r="G36" i="12"/>
  <c r="H36" i="12" s="1"/>
  <c r="G35" i="12"/>
  <c r="H35" i="12" s="1"/>
  <c r="G34" i="12"/>
  <c r="H34" i="12" s="1"/>
  <c r="G33" i="12"/>
  <c r="H33" i="12" s="1"/>
  <c r="G32" i="12"/>
  <c r="H32" i="12" s="1"/>
  <c r="G31" i="12"/>
  <c r="H31" i="12" s="1"/>
  <c r="G30" i="12"/>
  <c r="H30" i="12" s="1"/>
  <c r="G29" i="12"/>
  <c r="H29" i="12" s="1"/>
  <c r="G28" i="12"/>
  <c r="H28" i="12" s="1"/>
  <c r="G27" i="12"/>
  <c r="H27" i="12" s="1"/>
  <c r="G26" i="12"/>
  <c r="H26" i="12" s="1"/>
  <c r="G25" i="12"/>
  <c r="H25" i="12" s="1"/>
  <c r="G24" i="12"/>
  <c r="H24" i="12" s="1"/>
  <c r="G17" i="12"/>
  <c r="H17" i="12" s="1"/>
  <c r="G18" i="12"/>
  <c r="H18" i="12" s="1"/>
  <c r="G19" i="12"/>
  <c r="H19" i="12" s="1"/>
  <c r="G20" i="12"/>
  <c r="H20" i="12" s="1"/>
  <c r="G16" i="12"/>
  <c r="H16" i="12" s="1"/>
  <c r="D15" i="12"/>
  <c r="D67" i="12"/>
  <c r="D61" i="12"/>
  <c r="D52" i="12"/>
  <c r="G52" i="12" l="1"/>
  <c r="E22" i="12"/>
  <c r="D22" i="12"/>
  <c r="D21" i="12" s="1"/>
  <c r="D12" i="12" s="1"/>
  <c r="D14" i="12" s="1"/>
  <c r="G61" i="12"/>
  <c r="H61" i="12" s="1"/>
  <c r="G15" i="12"/>
  <c r="H15" i="12" s="1"/>
  <c r="H52" i="12"/>
  <c r="E21" i="12"/>
  <c r="E12" i="12" s="1"/>
  <c r="E13" i="12" s="1"/>
  <c r="E14" i="12" s="1"/>
  <c r="H64" i="12"/>
  <c r="G67" i="12"/>
  <c r="H67" i="12" s="1"/>
  <c r="G22" i="12" l="1"/>
  <c r="F22" i="12"/>
  <c r="H23" i="12"/>
  <c r="G21" i="12"/>
  <c r="G12" i="12" s="1"/>
  <c r="G13" i="12" s="1"/>
  <c r="G14" i="12" s="1"/>
  <c r="F21" i="12" l="1"/>
  <c r="H22" i="12"/>
  <c r="H21" i="12" l="1"/>
  <c r="F12" i="12"/>
  <c r="F13" i="12" l="1"/>
  <c r="H12" i="12"/>
  <c r="H13" i="12" l="1"/>
  <c r="F14" i="12"/>
  <c r="H14" i="12" s="1"/>
</calcChain>
</file>

<file path=xl/comments1.xml><?xml version="1.0" encoding="utf-8"?>
<comments xmlns="http://schemas.openxmlformats.org/spreadsheetml/2006/main">
  <authors>
    <author>Son Nguyen</author>
  </authors>
  <commentList>
    <comment ref="C102" authorId="0" shapeId="0">
      <text>
        <r>
          <rPr>
            <b/>
            <sz val="9"/>
            <color indexed="81"/>
            <rFont val="Tahoma"/>
            <family val="2"/>
          </rPr>
          <t>Son Nguyen:</t>
        </r>
        <r>
          <rPr>
            <sz val="9"/>
            <color indexed="81"/>
            <rFont val="Tahoma"/>
            <family val="2"/>
          </rPr>
          <t xml:space="preserve">
Sửa 2020-2022 -&gt; 2021-2023</t>
        </r>
      </text>
    </comment>
  </commentList>
</comments>
</file>

<file path=xl/sharedStrings.xml><?xml version="1.0" encoding="utf-8"?>
<sst xmlns="http://schemas.openxmlformats.org/spreadsheetml/2006/main" count="256" uniqueCount="218">
  <si>
    <t>CỘNG HOÀ XÃ HỘI CHỦ NGHĨA VIỆT NAM</t>
  </si>
  <si>
    <t>STT</t>
  </si>
  <si>
    <t>CHỈ TIÊU</t>
  </si>
  <si>
    <t>A</t>
  </si>
  <si>
    <t>T.đó</t>
  </si>
  <si>
    <t>B</t>
  </si>
  <si>
    <t>Cho vay mua trả chậm nhà ở vùng ĐBSCL và Tây Nguyên</t>
  </si>
  <si>
    <t>C</t>
  </si>
  <si>
    <t>(Ký tên, đóng dấu)</t>
  </si>
  <si>
    <t>I</t>
  </si>
  <si>
    <t>NGUỒN VỐN</t>
  </si>
  <si>
    <t>II</t>
  </si>
  <si>
    <t>SỬ DỤNG VỐN</t>
  </si>
  <si>
    <t xml:space="preserve">- Cho vay dự án IFAD </t>
  </si>
  <si>
    <t>- Cho vay dự án RIDP</t>
  </si>
  <si>
    <t>QUỸ AN TOÀN CHI TRẢ</t>
  </si>
  <si>
    <t>III</t>
  </si>
  <si>
    <t>Nguồn vốn huy động tại địa phương được TW cấp bù lãi suất</t>
  </si>
  <si>
    <t>T. đó</t>
  </si>
  <si>
    <t>Số tuyệt đối (+/-)</t>
  </si>
  <si>
    <t>Số tương đối (%)</t>
  </si>
  <si>
    <t>Đơn vị: triệu đồng, %, hộ, người</t>
  </si>
  <si>
    <t>Cho vay thương nhân tại VKK theo QĐ 92/2009/QĐ-TTg</t>
  </si>
  <si>
    <t>T.đó:</t>
  </si>
  <si>
    <t>NGUỒN VỐN CÂN ĐỐI TỪ TRUNG ƯƠNG</t>
  </si>
  <si>
    <t>Nguồn vốn cân đối chuyển từ Trung ương</t>
  </si>
  <si>
    <t>Tổng số</t>
  </si>
  <si>
    <t>-</t>
  </si>
  <si>
    <t xml:space="preserve">Tổng số HSSV theo học các Trường ĐH, CĐ, THCN và dạy nghề </t>
  </si>
  <si>
    <t xml:space="preserve">Số thương nhân hoạt động thương mại tại vùng khó khăn </t>
  </si>
  <si>
    <t xml:space="preserve">Số hộ gia đình SXKD đang còn dư nợ NHCSXH </t>
  </si>
  <si>
    <t>Số hộ gia đình sản xuất kinh doanh vùng khó khăn trên địa bàn</t>
  </si>
  <si>
    <t xml:space="preserve">Số hộ cận nghèo đang còn dư nợ NHCSXH </t>
  </si>
  <si>
    <t xml:space="preserve">Số hộ nghèo đang còn dư nợ NHCSXH </t>
  </si>
  <si>
    <t xml:space="preserve">Số HSSV đang còn dư nợ NHCSXH </t>
  </si>
  <si>
    <t>Số lao động được vay vốn giải quyết việc làm trong năm</t>
  </si>
  <si>
    <t xml:space="preserve">Số lao động có nhu cầu vay vốn giải quyết việc làm </t>
  </si>
  <si>
    <t xml:space="preserve">                     GIÁM ĐỐC</t>
  </si>
  <si>
    <t xml:space="preserve">                 (Ký tên, đóng dấu)</t>
  </si>
  <si>
    <t xml:space="preserve">         NGÂN HÀNG CHÍNH SÁCH XÃ HỘI</t>
  </si>
  <si>
    <t>Số công trình NS&amp;VSMT NT dự kiến được xây dựng từ nguồn vốn vay NHCSXH</t>
  </si>
  <si>
    <t>TRƯỞNG BĐD HĐQT - NHCSXH</t>
  </si>
  <si>
    <t>DƯ NỢ NGUỒN VỐN TRUNG ƯƠNG</t>
  </si>
  <si>
    <t>DƯ NỢ NGUỒN VỐN ĐỊA PHƯƠNG</t>
  </si>
  <si>
    <t>Số lao động dự kiến được thu hút từ vay vốn giải quyết việc làm</t>
  </si>
  <si>
    <t>Chi nhánh (Phòng giao dịch cấp huyện): ……..…………</t>
  </si>
  <si>
    <r>
      <t>Độc l</t>
    </r>
    <r>
      <rPr>
        <b/>
        <u/>
        <sz val="12"/>
        <rFont val="Times New Roman"/>
        <family val="1"/>
      </rPr>
      <t xml:space="preserve">ập - Tự do - Hạnh </t>
    </r>
    <r>
      <rPr>
        <b/>
        <sz val="12"/>
        <rFont val="Times New Roman"/>
        <family val="1"/>
      </rPr>
      <t>phúc</t>
    </r>
  </si>
  <si>
    <t>NGUỒN VỐN NHẬN ỦY THÁC ĐẦU TƯ TẠI ĐỊA PHƯƠNG</t>
  </si>
  <si>
    <t>Cho vay các đối tượng chính sách khác</t>
  </si>
  <si>
    <t xml:space="preserve">Số hộ nghèo đủ điều kiện vay vốn nhưng chưa được vay vốn NHCSXH </t>
  </si>
  <si>
    <t xml:space="preserve">Số hộ cận nghèo đủ điều kiện vay vốn nhưng chưa được vay vốn NHCSXH </t>
  </si>
  <si>
    <t xml:space="preserve">Số hộ gia đình SXKD đủ điều kiện vay vốn nhưng chưa được vay vốn NHCSXH </t>
  </si>
  <si>
    <t>Tổng số xã trên địa bàn</t>
  </si>
  <si>
    <t xml:space="preserve">THUYẾT MINH MỘT SỐ CHỈ TIÊU </t>
  </si>
  <si>
    <t xml:space="preserve">          </t>
  </si>
  <si>
    <t>- Cho vay dự án HIV/AIDS</t>
  </si>
  <si>
    <t xml:space="preserve"> - Cho vay Phát triển DN vừa và nhỏ (Dự án KFW)</t>
  </si>
  <si>
    <t xml:space="preserve"> - Cho vay Phát triển ngành Lâm nghiệp (Dự án FSDP)</t>
  </si>
  <si>
    <t>Cho vay một số dự án vốn nước ngoài khác</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</si>
  <si>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</si>
  <si>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Cho vay Chương trình NS&amp;VSMT NT theo QĐ 62/2004/QĐ-TTg</t>
  </si>
  <si>
    <t>Cho vay để ký quỹ đối với người lao động đi làm việc tại Hàn Quốc</t>
  </si>
  <si>
    <t>Cho vay hộ gia đình SXKD tại VKK theo QĐ 31/2007/QĐ-TTg</t>
  </si>
  <si>
    <t>- Cho vay dự án NIPPON (Mở rộng tài chính cho người khuyết tật)</t>
  </si>
  <si>
    <t xml:space="preserve"> Số xã thuộc vùng khó khăn</t>
  </si>
  <si>
    <t>Cho vay đồng bào DTTS theo QĐ 755/QĐ-TTg</t>
  </si>
  <si>
    <t>Cho vay hộ đồng bào DTTS ĐBKK theo QĐ 54/2012/QĐ-TTg
(QĐ 32/2007/QĐ-TTg)</t>
  </si>
  <si>
    <t>Cho vay đồng bào DTTS vùng ĐBSCL theo QĐ 29/2013/QĐ-TTg
(QĐ 74/2008/QĐ-TTg)</t>
  </si>
  <si>
    <t>Cho vay vốn Quỹ quốc gia về việc làm theo Nghị định 61/2015/NĐ-CP</t>
  </si>
  <si>
    <t>Cho vay nhà ở xã hội theo NĐ 100/2015/NĐ-CP</t>
  </si>
  <si>
    <t xml:space="preserve">Cho vay hỗ trợ hộ nghèo về nhà ở theo QĐ 33/2015/QĐ-TTg </t>
  </si>
  <si>
    <t>Cho vay hỗ trợ hộ nghèo về nhà ở theo QĐ 167/2008/QĐ-TTg</t>
  </si>
  <si>
    <t>Cho vay hộ nghèo theo Nghị định số 78/2002/NĐ-CP</t>
  </si>
  <si>
    <t>Cho vay hộ cận nghèo theo QĐ 15/2013/QĐ-TTg</t>
  </si>
  <si>
    <t>Cho vay hộ mới thoát nghèo theo Quyết định số 28/2015/QĐ-TTg</t>
  </si>
  <si>
    <t>Cho vay học sinh, sinh viên theo QĐ 157/2007/QĐ-TTg</t>
  </si>
  <si>
    <t>Cho vay xuất khẩu lao động tại huyện nghèo theo QĐ 71/2009/QĐ-TTg</t>
  </si>
  <si>
    <t>Cho vay hỗ trợ phát triển kinh tế - xã hội vùng dân tộc thiểu số và miền núi giai đoạn 2017 - 2020 theo Quyết định số 2085/QĐ-TTg</t>
  </si>
  <si>
    <t>Cho vay người lao động đi làm việc ở nước ngoài theo Quyết định số 365/QĐ-NHNN, Quyết định số 1465/QĐ-TTg, Quyết định số 63/2015/QĐ-TTg và Nghị định số 61/2015/NĐ-CP</t>
  </si>
  <si>
    <t xml:space="preserve">Cho vay trồng rừng sản xuất, phát triển chăn nuôi theo NĐ 75/2015/NĐ-CP </t>
  </si>
  <si>
    <t xml:space="preserve">Tổng số lao động có nhu cầu vay vốn đi lao động có thời hạn ở nước ngoài </t>
  </si>
  <si>
    <t>Tiền gửi của tổ chức, cá nhân</t>
  </si>
  <si>
    <t>Tiền gửi của Tổ viên Tổ Tiết kiệm và vay vốn</t>
  </si>
  <si>
    <t xml:space="preserve">Nguồn vốn nhận ủy thác từ ngân sách địa phương </t>
  </si>
  <si>
    <t>Nguồn vốn nhận ủy thác của các chủ đầu tư khác</t>
  </si>
  <si>
    <t>- Cho vay dự án CWPD</t>
  </si>
  <si>
    <t>…, ngày ….. tháng ….. năm ……..</t>
  </si>
  <si>
    <t>(PGD lập gửi tỉnh, tỉnh tổng hợp gửi HSC)</t>
  </si>
  <si>
    <t>Cho vay hỗ trợ tạo việc làm, duy trì và mở rộng việc làm từ nguồn vốn NHCSXH huy động (NĐ số 61/2015/NĐ-CP; NĐ 74/2019/NĐ-CP)</t>
  </si>
  <si>
    <t>Cho vay hỗ trợ người sử dụng lao động vay vốn trả lương theo QĐ 23/2021/QĐ-TTg</t>
  </si>
  <si>
    <t>Cho vay đối với học sinh, sinh viên có hoàn cảnh gia đình khó khăn để mua máy tính, thiết bị học tập trực tuyến theo Quyết định số 09/2022/QĐ-TTg</t>
  </si>
  <si>
    <t xml:space="preserve">Cho vay đối với các cơ sở giáo dục mầm non, tiểu học ngoài công lập theo Quyết định số 11/2022/QĐ-TTg </t>
  </si>
  <si>
    <t>Cho vay thực hiện Chương trình mục tiêu quốc gia về phát triển kinh tế - xã hội vùng đồng bào DTTS và miền núi theo Nghị định số 28/2022/NĐ-CP</t>
  </si>
  <si>
    <t>Cho vay xây dựng cụm tuyến dân cư và nhà ở vùng ngập lũ ĐBSCL giai đoạn 2018-2020 (QĐ 714/QĐ-TTg)</t>
  </si>
  <si>
    <t>Cho vay hỗ trợ tạo việc làm, duy trì và mở rộng việc làm theo Nghị quyết 11/NQ-CP</t>
  </si>
  <si>
    <t>Cho vay nhà ở xã hội theo NĐ 100/2015/NĐ-CP theo Nghị quyết 11/NQ-CP</t>
  </si>
  <si>
    <t xml:space="preserve">Cho vay hỗ trợ hộ nghèo xây dựng nhà ở phòng, tránh bão, lụt khu vực miền Trung theo QĐ 716/QĐ-TTg, QĐ 48/2014/QĐ-TTg </t>
  </si>
  <si>
    <t>Trong đó: Nhà ở công nhân trong khu công nghiệp</t>
  </si>
  <si>
    <t>Dự án, đề án xây dựng nhà ở xã hội của các doanh nghiệp</t>
  </si>
  <si>
    <t>A1</t>
  </si>
  <si>
    <t>A2</t>
  </si>
  <si>
    <t>Các chương trình cho vay theo Nghị quyết số 11/NQ-CP của Chính phủ</t>
  </si>
  <si>
    <t>Cho vay nhà ở xã hội theo NĐ 100/2015/NĐ-CP (không bao gồm cho vay theo Nghị quyết số 11/NQ-CP)</t>
  </si>
  <si>
    <t>Nhà ở công nhân trong khu công nghiệp</t>
  </si>
  <si>
    <t>Các chương trình cho vay được TTCP giao hàng năm (không bao gồm cho vay theo Nghị quyết số 11/NQ-CP)</t>
  </si>
  <si>
    <t>Cho vay hỗ trợ tạo việc làm, duy trì và mở rộng việc làm từ nguồn vốn Quỹ quốc gia về việc làm theo NĐ số 61/2015/NĐ-CP; NĐ số 74/2019/NĐ-CP</t>
  </si>
  <si>
    <t>Cho vay hỗ trợ tạo việc làm, duy trì và mở rộng việc làm từ nguồn vốn NHCSXH huy động theo NĐ số 61/2015/NĐ-CP; NĐ 74/2019/NĐ-CP (không bao gồm cho vay theo Nghị quyết số 11/NQ-CP)</t>
  </si>
  <si>
    <r>
      <t xml:space="preserve">Mô tả biểu số 02/NHCS-KH
* Tại cấp huyện:
</t>
    </r>
    <r>
      <rPr>
        <sz val="12"/>
        <rFont val="Times New Roman"/>
        <family val="1"/>
        <charset val="163"/>
      </rPr>
      <t xml:space="preserve">- Cột 2: Theo thứ tự liệt kê các chỉ tiêu tại biểu.
- Cột 3: Hỗ trợ lấy tự động theo dư nợ đến 31/12/2021 của từng đơn vị cấp huyện, trường hợp số liệu có sai sót (do người dùng đăng ký sai mã) thì có thể chỉnh sửa nhưng vẫn phải đảm bảo nguyên tắc của các dòng tổng cộng.
- Cột 4: Trung tâm CNTT hỗ trợ xuất dư nợ đến 30/6/2022 để các đơn vị ước số thực hiện đến 31/12/2022 và chỉnh sửa trực tiếp trên mẫu biểu 02/NHCS-KH trên chương trình TTBC.
- Cột 5: Tổng số kế hoạch tín dụng 2023 tính toán tự động từ các mẫu 01/NHCS-KH của các xã để tổng hợp tương ứng lên số tổng toàn huyện theo từng chương trình.
- Cột 6: Tính tự động trên cơ sở số liệu của cột 4 và cột 5. Cột 6 = cột 5 trừ (-) cột 4.
- Cột 7: Tính tự động: cột 7 = cột 6 chia (:) cột 4 (%)
</t>
    </r>
    <r>
      <rPr>
        <b/>
        <sz val="12"/>
        <rFont val="Times New Roman"/>
        <family val="1"/>
        <charset val="163"/>
      </rPr>
      <t xml:space="preserve">* Tại cấp tỉnh: </t>
    </r>
    <r>
      <rPr>
        <sz val="12"/>
        <rFont val="Times New Roman"/>
        <family val="1"/>
        <charset val="163"/>
      </rPr>
      <t xml:space="preserve">
- Cột 3, 4, 5, 6: Được tổng hợp tự động từ mẫu 02/NHCS-KH của cấp huyện. Cột 4, 5, 6 không được phép chỉnh sửa số liệu, riêng Cột 3 có thể chỉnh sửa trực tiếp trên chương trình TTBC nhưng vẫn phải đảm bảo nguyên tắc của các dòng tổng cộng
- Cột 7: Tính tự động: cột 7 = cột 6 chia (:) cột 4 (%)
 </t>
    </r>
    <r>
      <rPr>
        <b/>
        <sz val="12"/>
        <rFont val="Times New Roman"/>
        <family val="1"/>
        <charset val="163"/>
      </rPr>
      <t>Lưu ý:</t>
    </r>
    <r>
      <rPr>
        <sz val="12"/>
        <rFont val="Times New Roman"/>
        <family val="1"/>
        <charset val="163"/>
      </rPr>
      <t xml:space="preserve">
- Mục B. Nguồn vốn nhận ủy thác đầu tư tại địa phương và mục B. Dư nợ nguồn vốn địa phương, cấp tỉnh được phép chỉnh sửa trực tiếp trên chương trình TTBC
- STT 27 (Mục A) và 21 (Mục B) cho phép chỉnh sửa tên chương trình
- Các chỉ tiêu không mô tả để trống chi nhánh cập nhập dữ liệu</t>
    </r>
    <r>
      <rPr>
        <b/>
        <sz val="12"/>
        <rFont val="Times New Roman"/>
        <family val="1"/>
      </rPr>
      <t xml:space="preserve">
</t>
    </r>
  </si>
  <si>
    <t>XD00100</t>
  </si>
  <si>
    <t>XD00101</t>
  </si>
  <si>
    <t>XD00102</t>
  </si>
  <si>
    <t>XD00103</t>
  </si>
  <si>
    <t>XD00104</t>
  </si>
  <si>
    <t>XD00105</t>
  </si>
  <si>
    <t>XD00106</t>
  </si>
  <si>
    <t>XD00107</t>
  </si>
  <si>
    <t>XD00108</t>
  </si>
  <si>
    <t>XD00109</t>
  </si>
  <si>
    <t>XD00110</t>
  </si>
  <si>
    <t>XD00003</t>
  </si>
  <si>
    <t>XD00004</t>
  </si>
  <si>
    <t>XD00005</t>
  </si>
  <si>
    <t>XD00006</t>
  </si>
  <si>
    <t>XD00007</t>
  </si>
  <si>
    <t>XD00008</t>
  </si>
  <si>
    <t>XD00009</t>
  </si>
  <si>
    <t>XD00010</t>
  </si>
  <si>
    <t>XD00011</t>
  </si>
  <si>
    <t>XD00012</t>
  </si>
  <si>
    <t>XD00013</t>
  </si>
  <si>
    <t>XD00014</t>
  </si>
  <si>
    <t>XD00015</t>
  </si>
  <si>
    <t>XD00016</t>
  </si>
  <si>
    <t>XD00017</t>
  </si>
  <si>
    <t>XD00018</t>
  </si>
  <si>
    <t>XD00019</t>
  </si>
  <si>
    <t>XD00020</t>
  </si>
  <si>
    <t>XD00021</t>
  </si>
  <si>
    <t>XD00022</t>
  </si>
  <si>
    <t>XD00023</t>
  </si>
  <si>
    <t>XD00024</t>
  </si>
  <si>
    <t>XD00025</t>
  </si>
  <si>
    <t>XD00027</t>
  </si>
  <si>
    <t>XD00028</t>
  </si>
  <si>
    <t>XD00029</t>
  </si>
  <si>
    <t>XD00030</t>
  </si>
  <si>
    <t>XD00031</t>
  </si>
  <si>
    <t>XD00032</t>
  </si>
  <si>
    <t>XD00033</t>
  </si>
  <si>
    <t>XD00034</t>
  </si>
  <si>
    <t>XD00035</t>
  </si>
  <si>
    <t>XD00036</t>
  </si>
  <si>
    <t>XD00037</t>
  </si>
  <si>
    <t>XD00038</t>
  </si>
  <si>
    <t>XD00039</t>
  </si>
  <si>
    <t>XD00040</t>
  </si>
  <si>
    <t>XD00041</t>
  </si>
  <si>
    <t>XD00044</t>
  </si>
  <si>
    <t>XD00045</t>
  </si>
  <si>
    <t>XD00046</t>
  </si>
  <si>
    <t>XD00111</t>
  </si>
  <si>
    <t>XD00048</t>
  </si>
  <si>
    <t>XD00049</t>
  </si>
  <si>
    <t>XD00050</t>
  </si>
  <si>
    <t>XD00051</t>
  </si>
  <si>
    <t>XD00052</t>
  </si>
  <si>
    <t>XD00053</t>
  </si>
  <si>
    <t>XD00054</t>
  </si>
  <si>
    <t>XD00055</t>
  </si>
  <si>
    <t>XD00056</t>
  </si>
  <si>
    <t>XD00057</t>
  </si>
  <si>
    <t>XD00058</t>
  </si>
  <si>
    <t>XD00059</t>
  </si>
  <si>
    <t>XD00060</t>
  </si>
  <si>
    <t>XD00061</t>
  </si>
  <si>
    <t>XD00063</t>
  </si>
  <si>
    <t>XD00064</t>
  </si>
  <si>
    <t>XD00065</t>
  </si>
  <si>
    <t>XD00069</t>
  </si>
  <si>
    <t>XD00070</t>
  </si>
  <si>
    <t>XD00071</t>
  </si>
  <si>
    <t>XD00072</t>
  </si>
  <si>
    <t>XD00112</t>
  </si>
  <si>
    <t>XD00113</t>
  </si>
  <si>
    <t>XD00074</t>
  </si>
  <si>
    <t>XD00075</t>
  </si>
  <si>
    <t>XD00076</t>
  </si>
  <si>
    <t>XD00077</t>
  </si>
  <si>
    <t>XD00078</t>
  </si>
  <si>
    <t>XD00083</t>
  </si>
  <si>
    <t>XD00084</t>
  </si>
  <si>
    <t>XD00085</t>
  </si>
  <si>
    <t>XD00086</t>
  </si>
  <si>
    <t>XD00087</t>
  </si>
  <si>
    <t>XD00088</t>
  </si>
  <si>
    <t>XD00089</t>
  </si>
  <si>
    <t>XD00090</t>
  </si>
  <si>
    <t>XD00091</t>
  </si>
  <si>
    <t>XD00114</t>
  </si>
  <si>
    <t>XD00115</t>
  </si>
  <si>
    <t>XD00002</t>
  </si>
  <si>
    <t>XD00092</t>
  </si>
  <si>
    <t>XD00093</t>
  </si>
  <si>
    <t>XD00094</t>
  </si>
  <si>
    <t>XD00095</t>
  </si>
  <si>
    <t>XD00096</t>
  </si>
  <si>
    <t>XD00097</t>
  </si>
  <si>
    <t>XD00098</t>
  </si>
  <si>
    <t>XD00099</t>
  </si>
  <si>
    <t xml:space="preserve">Số hộ nghèo theo chuẩn hộ nghèo (giai đoạn 2022-2025) </t>
  </si>
  <si>
    <t xml:space="preserve">Số hộ cận nghèo theo chuẩn hộ cận nghèo (giai đoạn 2022-2025) </t>
  </si>
  <si>
    <t>Số hộ mới thoát nghèo (giai đoạn 2021-2023)</t>
  </si>
  <si>
    <t>KẾ HOẠCH TÍN DỤNG NĂM 2024</t>
  </si>
  <si>
    <t>Thực hiện đến 31/12/2022</t>
  </si>
  <si>
    <t>Ước thực hiện đến 31/12/2023</t>
  </si>
  <si>
    <t>Kế hoạch tín dụng năm 2024</t>
  </si>
  <si>
    <t>Tăng, giảm so với 31/12/2023</t>
  </si>
  <si>
    <t>Biểu số 02A/NHCS-KH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</si>
</sst>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font>
      <sz val="10"/>
      <name val="Arial"/>
    </font>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b/>
      <sz val="11"/>
      <name val="Times New Roman"/>
      <family val="1"/>
    </font>
    <font>
      <sz val="10"/>
      <name val="Times New Roman"/>
      <family val="1"/>
    </font>
    <font>
      <b/>
      <sz val="12"/>
      <name val="Times New Roman"/>
      <family val="1"/>
    </font>
    <font>
      <b/>
      <sz val="14"/>
      <name val="Times New Roman"/>
      <family val="1"/>
    </font>
    <font>
      <i/>
      <sz val="10"/>
      <name val="Times New Roman"/>
      <family val="1"/>
    </font>
    <font>
      <sz val="11"/>
      <name val="Times New Roman"/>
      <family val="1"/>
    </font>
    <font>
      <i/>
      <sz val="12"/>
      <name val="Times New Roman"/>
      <family val="1"/>
    </font>
    <font>
      <sz val="12"/>
      <name val=".VnTime"/>
      <family val="2"/>
    </font>
    <font>
      <i/>
      <sz val="11"/>
      <name val="Times New Roman"/>
      <family val="1"/>
    </font>
    <font>
      <b/>
      <u/>
      <sz val="12"/>
      <name val="Times New Roman"/>
      <family val="1"/>
    </font>
    <font>
      <sz val="10"/>
      <name val="Arial"/>
      <family val="2"/>
    </font>
    <font>
      <sz val="10"/>
      <name val="Arial"/>
      <family val="2"/>
      <charset val="163"/>
    </font>
    <font>
      <i/>
      <sz val="12"/>
      <name val="Times New Roman"/>
      <family val="1"/>
      <charset val="163"/>
    </font>
    <font>
      <b/>
      <sz val="12"/>
      <name val="Times New Roman"/>
      <family val="1"/>
      <charset val="163"/>
    </font>
    <font>
      <sz val="12"/>
      <name val="Times New Roman"/>
      <family val="1"/>
      <charset val="163"/>
    </font>
    <font>
      <sz val="10"/>
      <name val="Times New Roman"/>
      <family val="1"/>
      <charset val="163"/>
    </font>
    <font>
      <sz val="9"/>
      <color indexed="81"/>
      <name val="Tahoma"/>
      <family val="2"/>
    </font>
    <font>
      <b/>
      <sz val="9"/>
      <color indexed="81"/>
      <name val="Tahoma"/>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0" tint="-0.14999847407452621"/>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30" fillId="0" borderId="0"/>
    <xf numFmtId="0" fontId="31" fillId="0" borderId="0"/>
    <xf numFmtId="0" fontId="27" fillId="0" borderId="0"/>
    <xf numFmtId="0" fontId="1" fillId="23" borderId="7" applyNumberFormat="0" applyFont="0" applyAlignment="0" applyProtection="0"/>
    <xf numFmtId="0" fontId="15" fillId="20" borderId="8" applyNumberFormat="0" applyAlignment="0" applyProtection="0"/>
    <xf numFmtId="9" fontId="1" fillId="0" borderId="0" applyFont="0" applyFill="0" applyBorder="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123">
    <xf numFmtId="0" fontId="0" fillId="0" borderId="0" xfId="0"/>
    <xf numFmtId="0" fontId="19" fillId="0" borderId="0" xfId="0" applyFont="1" applyAlignment="1">
      <alignment vertical="center"/>
    </xf>
    <xf numFmtId="0" fontId="21" fillId="0" borderId="0" xfId="0" applyFont="1" applyAlignment="1">
      <alignment vertical="center"/>
    </xf>
    <xf numFmtId="0" fontId="25" fillId="0" borderId="0" xfId="0" applyFont="1" applyAlignment="1">
      <alignment vertical="center"/>
    </xf>
    <xf numFmtId="0" fontId="24" fillId="0" borderId="0" xfId="0" applyFont="1" applyAlignment="1">
      <alignment vertical="center"/>
    </xf>
    <xf numFmtId="0" fontId="28" fillId="0" borderId="0" xfId="0" applyFont="1" applyAlignment="1">
      <alignment vertical="center"/>
    </xf>
    <xf numFmtId="0" fontId="22" fillId="0" borderId="0" xfId="0" applyFont="1" applyAlignment="1">
      <alignment vertical="center"/>
    </xf>
    <xf numFmtId="0" fontId="24" fillId="0" borderId="10" xfId="0" applyFont="1" applyBorder="1" applyAlignment="1">
      <alignment horizontal="center" vertical="center" wrapText="1"/>
    </xf>
    <xf numFmtId="0" fontId="22" fillId="0" borderId="0" xfId="0" applyFont="1" applyAlignment="1">
      <alignment horizontal="left" vertical="center"/>
    </xf>
    <xf numFmtId="0" fontId="26" fillId="0" borderId="0" xfId="0" applyFont="1" applyAlignment="1">
      <alignment vertical="center"/>
    </xf>
    <xf numFmtId="0" fontId="26" fillId="0" borderId="0" xfId="0" applyFont="1" applyAlignment="1">
      <alignment horizontal="right" vertical="center"/>
    </xf>
    <xf numFmtId="0" fontId="21" fillId="24" borderId="0" xfId="0" applyFont="1" applyFill="1" applyAlignment="1">
      <alignment vertical="center"/>
    </xf>
    <xf numFmtId="0" fontId="26" fillId="0" borderId="0" xfId="0" applyFont="1" applyAlignment="1">
      <alignment horizontal="center" vertical="center"/>
    </xf>
    <xf numFmtId="0" fontId="22" fillId="25" borderId="11" xfId="0" applyFont="1" applyFill="1" applyBorder="1" applyAlignment="1">
      <alignment horizontal="center" vertical="center"/>
    </xf>
    <xf numFmtId="0" fontId="22" fillId="25" borderId="11" xfId="0" applyFont="1" applyFill="1" applyBorder="1" applyAlignment="1">
      <alignment vertical="center"/>
    </xf>
    <xf numFmtId="0" fontId="25" fillId="25" borderId="0" xfId="0" applyFont="1" applyFill="1" applyAlignment="1">
      <alignment vertical="center"/>
    </xf>
    <xf numFmtId="3" fontId="22" fillId="25" borderId="11" xfId="0" quotePrefix="1" applyNumberFormat="1" applyFont="1" applyFill="1" applyBorder="1" applyAlignment="1">
      <alignment horizontal="right" vertical="center"/>
    </xf>
    <xf numFmtId="0" fontId="19" fillId="25" borderId="11" xfId="0" applyFont="1" applyFill="1" applyBorder="1" applyAlignment="1">
      <alignment horizontal="center" vertical="center"/>
    </xf>
    <xf numFmtId="0" fontId="19" fillId="25" borderId="11" xfId="0" applyFont="1" applyFill="1" applyBorder="1" applyAlignment="1">
      <alignment vertical="center"/>
    </xf>
    <xf numFmtId="3" fontId="19" fillId="25" borderId="11" xfId="0" quotePrefix="1" applyNumberFormat="1" applyFont="1" applyFill="1" applyBorder="1" applyAlignment="1">
      <alignment horizontal="right" vertical="center"/>
    </xf>
    <xf numFmtId="0" fontId="21" fillId="25" borderId="0" xfId="0" applyFont="1" applyFill="1" applyAlignment="1">
      <alignment vertical="center"/>
    </xf>
    <xf numFmtId="0" fontId="20" fillId="25" borderId="11" xfId="0" applyFont="1" applyFill="1" applyBorder="1" applyAlignment="1">
      <alignment vertical="center"/>
    </xf>
    <xf numFmtId="3" fontId="33" fillId="25" borderId="11" xfId="0" quotePrefix="1" applyNumberFormat="1" applyFont="1" applyFill="1" applyBorder="1" applyAlignment="1">
      <alignment horizontal="right" vertical="center"/>
    </xf>
    <xf numFmtId="0" fontId="24" fillId="25" borderId="0" xfId="0" applyFont="1" applyFill="1" applyAlignment="1">
      <alignment vertical="center"/>
    </xf>
    <xf numFmtId="3" fontId="22" fillId="25" borderId="15" xfId="0" quotePrefix="1" applyNumberFormat="1" applyFont="1" applyFill="1" applyBorder="1" applyAlignment="1">
      <alignment horizontal="right" vertical="center" wrapText="1"/>
    </xf>
    <xf numFmtId="0" fontId="19" fillId="25" borderId="0" xfId="0" applyFont="1" applyFill="1" applyAlignment="1">
      <alignment vertical="center"/>
    </xf>
    <xf numFmtId="0" fontId="25" fillId="25" borderId="11" xfId="0" applyFont="1" applyFill="1" applyBorder="1" applyAlignment="1">
      <alignment horizontal="center" vertical="center"/>
    </xf>
    <xf numFmtId="0" fontId="19" fillId="25" borderId="11" xfId="39" applyFont="1" applyFill="1" applyBorder="1" applyAlignment="1">
      <alignment horizontal="left" vertical="center" wrapText="1"/>
    </xf>
    <xf numFmtId="0" fontId="21" fillId="25" borderId="11" xfId="0" applyFont="1" applyFill="1" applyBorder="1" applyAlignment="1">
      <alignment horizontal="center" vertical="center"/>
    </xf>
    <xf numFmtId="3" fontId="20" fillId="25" borderId="11" xfId="0" quotePrefix="1" applyNumberFormat="1" applyFont="1" applyFill="1" applyBorder="1" applyAlignment="1">
      <alignment horizontal="right" vertical="center"/>
    </xf>
    <xf numFmtId="0" fontId="20" fillId="25" borderId="11" xfId="0" applyFont="1" applyFill="1" applyBorder="1" applyAlignment="1">
      <alignment vertical="center" wrapText="1"/>
    </xf>
    <xf numFmtId="0" fontId="22" fillId="25" borderId="14" xfId="0" applyFont="1" applyFill="1" applyBorder="1" applyAlignment="1">
      <alignment horizontal="center" vertical="center" wrapText="1"/>
    </xf>
    <xf numFmtId="0" fontId="20" fillId="25" borderId="14" xfId="0" applyFont="1" applyFill="1" applyBorder="1" applyAlignment="1">
      <alignment horizontal="left" vertical="center"/>
    </xf>
    <xf numFmtId="0" fontId="22" fillId="25" borderId="10" xfId="0" applyFont="1" applyFill="1" applyBorder="1" applyAlignment="1">
      <alignment horizontal="center" vertical="center" wrapText="1"/>
    </xf>
    <xf numFmtId="3" fontId="34" fillId="25" borderId="12" xfId="39" quotePrefix="1" applyNumberFormat="1" applyFont="1" applyFill="1" applyBorder="1" applyAlignment="1">
      <alignment horizontal="right" vertical="center" wrapText="1"/>
    </xf>
    <xf numFmtId="3" fontId="22" fillId="25" borderId="11" xfId="0" quotePrefix="1" applyNumberFormat="1" applyFont="1" applyFill="1" applyBorder="1" applyAlignment="1">
      <alignment horizontal="right" vertical="center" wrapText="1"/>
    </xf>
    <xf numFmtId="0" fontId="22" fillId="25" borderId="14" xfId="0" applyFont="1" applyFill="1" applyBorder="1" applyAlignment="1">
      <alignment horizontal="center" vertical="center"/>
    </xf>
    <xf numFmtId="0" fontId="20" fillId="25" borderId="14" xfId="0" applyFont="1" applyFill="1" applyBorder="1" applyAlignment="1">
      <alignment vertical="center"/>
    </xf>
    <xf numFmtId="3" fontId="20" fillId="25" borderId="14" xfId="0" quotePrefix="1" applyNumberFormat="1" applyFont="1" applyFill="1" applyBorder="1" applyAlignment="1">
      <alignment horizontal="right" vertical="center"/>
    </xf>
    <xf numFmtId="0" fontId="22" fillId="25" borderId="10" xfId="0" applyFont="1" applyFill="1" applyBorder="1" applyAlignment="1">
      <alignment horizontal="center" vertical="center"/>
    </xf>
    <xf numFmtId="3" fontId="22" fillId="25" borderId="10" xfId="0" quotePrefix="1" applyNumberFormat="1" applyFont="1" applyFill="1" applyBorder="1" applyAlignment="1">
      <alignment horizontal="right" vertical="center"/>
    </xf>
    <xf numFmtId="3" fontId="19" fillId="25" borderId="11" xfId="0" applyNumberFormat="1" applyFont="1" applyFill="1" applyBorder="1" applyAlignment="1">
      <alignment horizontal="right" vertical="center"/>
    </xf>
    <xf numFmtId="3" fontId="19" fillId="25" borderId="12" xfId="0" applyNumberFormat="1" applyFont="1" applyFill="1" applyBorder="1" applyAlignment="1">
      <alignment horizontal="right" vertical="center"/>
    </xf>
    <xf numFmtId="3" fontId="26" fillId="25" borderId="11" xfId="0" applyNumberFormat="1" applyFont="1" applyFill="1" applyBorder="1" applyAlignment="1">
      <alignment horizontal="right" vertical="center"/>
    </xf>
    <xf numFmtId="10" fontId="22" fillId="25" borderId="15" xfId="42" quotePrefix="1" applyNumberFormat="1" applyFont="1" applyFill="1" applyBorder="1" applyAlignment="1">
      <alignment horizontal="right" vertical="center" wrapText="1"/>
    </xf>
    <xf numFmtId="10" fontId="34" fillId="25" borderId="12" xfId="42" quotePrefix="1" applyNumberFormat="1" applyFont="1" applyFill="1" applyBorder="1" applyAlignment="1">
      <alignment horizontal="right" vertical="center" wrapText="1"/>
    </xf>
    <xf numFmtId="10" fontId="22" fillId="25" borderId="11" xfId="42" quotePrefix="1" applyNumberFormat="1" applyFont="1" applyFill="1" applyBorder="1" applyAlignment="1">
      <alignment horizontal="right" vertical="center" wrapText="1"/>
    </xf>
    <xf numFmtId="10" fontId="22" fillId="25" borderId="10" xfId="42" quotePrefix="1" applyNumberFormat="1" applyFont="1" applyFill="1" applyBorder="1" applyAlignment="1">
      <alignment horizontal="right" vertical="center"/>
    </xf>
    <xf numFmtId="10" fontId="20" fillId="25" borderId="14" xfId="42" quotePrefix="1" applyNumberFormat="1" applyFont="1" applyFill="1" applyBorder="1" applyAlignment="1">
      <alignment horizontal="right" vertical="center"/>
    </xf>
    <xf numFmtId="10" fontId="20" fillId="25" borderId="11" xfId="42" quotePrefix="1" applyNumberFormat="1" applyFont="1" applyFill="1" applyBorder="1" applyAlignment="1">
      <alignment horizontal="right" vertical="center"/>
    </xf>
    <xf numFmtId="10" fontId="19" fillId="25" borderId="11" xfId="42" quotePrefix="1" applyNumberFormat="1" applyFont="1" applyFill="1" applyBorder="1" applyAlignment="1">
      <alignment horizontal="right" vertical="center"/>
    </xf>
    <xf numFmtId="10" fontId="33" fillId="25" borderId="11" xfId="42" quotePrefix="1" applyNumberFormat="1" applyFont="1" applyFill="1" applyBorder="1" applyAlignment="1">
      <alignment horizontal="right" vertical="center"/>
    </xf>
    <xf numFmtId="10" fontId="22" fillId="25" borderId="11" xfId="42" quotePrefix="1" applyNumberFormat="1" applyFont="1" applyFill="1" applyBorder="1" applyAlignment="1">
      <alignment horizontal="right" vertical="center"/>
    </xf>
    <xf numFmtId="0" fontId="21" fillId="0" borderId="10" xfId="0" applyFont="1" applyBorder="1" applyAlignment="1">
      <alignment horizontal="center" vertical="center" wrapText="1"/>
    </xf>
    <xf numFmtId="10" fontId="25" fillId="25" borderId="11" xfId="42" applyNumberFormat="1" applyFont="1" applyFill="1" applyBorder="1" applyAlignment="1">
      <alignment horizontal="right" vertical="center"/>
    </xf>
    <xf numFmtId="10" fontId="21" fillId="25" borderId="11" xfId="42" applyNumberFormat="1" applyFont="1" applyFill="1" applyBorder="1" applyAlignment="1">
      <alignment horizontal="right" vertical="center"/>
    </xf>
    <xf numFmtId="10" fontId="21" fillId="25" borderId="12" xfId="42" applyNumberFormat="1" applyFont="1" applyFill="1" applyBorder="1" applyAlignment="1">
      <alignment horizontal="right" vertical="center"/>
    </xf>
    <xf numFmtId="10" fontId="35" fillId="25" borderId="11" xfId="42" applyNumberFormat="1" applyFont="1" applyFill="1" applyBorder="1" applyAlignment="1">
      <alignment horizontal="right" vertical="center"/>
    </xf>
    <xf numFmtId="3" fontId="34" fillId="25" borderId="11" xfId="0" applyNumberFormat="1" applyFont="1" applyFill="1" applyBorder="1" applyAlignment="1">
      <alignment horizontal="right" vertical="center"/>
    </xf>
    <xf numFmtId="3" fontId="19" fillId="25" borderId="16" xfId="0" applyNumberFormat="1" applyFont="1" applyFill="1" applyBorder="1" applyAlignment="1">
      <alignment horizontal="right" vertical="center"/>
    </xf>
    <xf numFmtId="10" fontId="25" fillId="25" borderId="16" xfId="42" applyNumberFormat="1" applyFont="1" applyFill="1" applyBorder="1" applyAlignment="1">
      <alignment horizontal="right" vertical="center"/>
    </xf>
    <xf numFmtId="0" fontId="22" fillId="25" borderId="15" xfId="0" applyFont="1" applyFill="1" applyBorder="1" applyAlignment="1">
      <alignment horizontal="center" vertical="center" wrapText="1"/>
    </xf>
    <xf numFmtId="0" fontId="22" fillId="25" borderId="11" xfId="0" applyFont="1" applyFill="1" applyBorder="1" applyAlignment="1">
      <alignment horizontal="center" vertical="center" wrapText="1"/>
    </xf>
    <xf numFmtId="0" fontId="20" fillId="25" borderId="11" xfId="0" applyFont="1" applyFill="1" applyBorder="1" applyAlignment="1">
      <alignment horizontal="center" vertical="center"/>
    </xf>
    <xf numFmtId="0" fontId="20" fillId="25" borderId="11" xfId="0" applyFont="1" applyFill="1" applyBorder="1" applyAlignment="1">
      <alignment horizontal="left" vertical="center"/>
    </xf>
    <xf numFmtId="0" fontId="26" fillId="25" borderId="11" xfId="0" applyFont="1" applyFill="1" applyBorder="1"/>
    <xf numFmtId="0" fontId="26" fillId="25" borderId="12" xfId="0" applyFont="1" applyFill="1" applyBorder="1"/>
    <xf numFmtId="0" fontId="19" fillId="25" borderId="11" xfId="0" applyFont="1" applyFill="1" applyBorder="1" applyAlignment="1">
      <alignment horizontal="left" vertical="center"/>
    </xf>
    <xf numFmtId="0" fontId="19" fillId="25" borderId="11" xfId="0" applyFont="1" applyFill="1" applyBorder="1" applyAlignment="1">
      <alignment vertical="center" wrapText="1"/>
    </xf>
    <xf numFmtId="0" fontId="19" fillId="25" borderId="11" xfId="38" applyFont="1" applyFill="1" applyBorder="1" applyAlignment="1">
      <alignment vertical="center" wrapText="1"/>
    </xf>
    <xf numFmtId="0" fontId="26" fillId="25" borderId="11" xfId="0" applyFont="1" applyFill="1" applyBorder="1" applyAlignment="1">
      <alignment horizontal="center" vertical="center"/>
    </xf>
    <xf numFmtId="0" fontId="26" fillId="25" borderId="11" xfId="0" applyFont="1" applyFill="1" applyBorder="1" applyAlignment="1">
      <alignment vertical="center" wrapText="1"/>
    </xf>
    <xf numFmtId="0" fontId="19" fillId="25" borderId="11" xfId="0" applyFont="1" applyFill="1" applyBorder="1" applyAlignment="1">
      <alignment horizontal="left" vertical="center" wrapText="1"/>
    </xf>
    <xf numFmtId="0" fontId="26" fillId="25" borderId="11" xfId="0" applyFont="1" applyFill="1" applyBorder="1" applyAlignment="1">
      <alignment vertical="center"/>
    </xf>
    <xf numFmtId="0" fontId="26" fillId="25" borderId="12" xfId="0" applyFont="1" applyFill="1" applyBorder="1" applyAlignment="1">
      <alignment vertical="center"/>
    </xf>
    <xf numFmtId="0" fontId="26" fillId="25" borderId="11" xfId="0" quotePrefix="1" applyFont="1" applyFill="1" applyBorder="1" applyAlignment="1">
      <alignment vertical="center"/>
    </xf>
    <xf numFmtId="0" fontId="26" fillId="25" borderId="13" xfId="0" applyFont="1" applyFill="1" applyBorder="1" applyAlignment="1">
      <alignment vertical="center"/>
    </xf>
    <xf numFmtId="0" fontId="26" fillId="25" borderId="14" xfId="0" applyFont="1" applyFill="1" applyBorder="1" applyAlignment="1">
      <alignment vertical="center"/>
    </xf>
    <xf numFmtId="0" fontId="32" fillId="25" borderId="11" xfId="38" applyFont="1" applyFill="1" applyBorder="1" applyAlignment="1">
      <alignment vertical="center" wrapText="1"/>
    </xf>
    <xf numFmtId="0" fontId="32" fillId="25" borderId="11" xfId="0" applyFont="1" applyFill="1" applyBorder="1" applyAlignment="1">
      <alignment vertical="center" wrapText="1"/>
    </xf>
    <xf numFmtId="0" fontId="19" fillId="25" borderId="14" xfId="0" applyFont="1" applyFill="1" applyBorder="1" applyAlignment="1">
      <alignment horizontal="center" vertical="center"/>
    </xf>
    <xf numFmtId="0" fontId="26" fillId="25" borderId="11" xfId="0" quotePrefix="1" applyFont="1" applyFill="1" applyBorder="1" applyAlignment="1">
      <alignment horizontal="center" vertical="center"/>
    </xf>
    <xf numFmtId="0" fontId="19" fillId="25" borderId="11" xfId="0" quotePrefix="1" applyFont="1" applyFill="1" applyBorder="1" applyAlignment="1">
      <alignment horizontal="center" vertical="center"/>
    </xf>
    <xf numFmtId="0" fontId="26" fillId="25" borderId="16" xfId="0" applyFont="1" applyFill="1" applyBorder="1" applyAlignment="1">
      <alignment horizontal="center" vertical="center"/>
    </xf>
    <xf numFmtId="0" fontId="26" fillId="25" borderId="16" xfId="0" applyFont="1" applyFill="1" applyBorder="1" applyAlignment="1">
      <alignment vertical="center"/>
    </xf>
    <xf numFmtId="0" fontId="19" fillId="0" borderId="0" xfId="0" applyFont="1" applyAlignment="1">
      <alignment horizontal="right" vertical="center"/>
    </xf>
    <xf numFmtId="0" fontId="25" fillId="0" borderId="0" xfId="0" applyFont="1" applyAlignment="1">
      <alignment horizontal="right" vertical="center"/>
    </xf>
    <xf numFmtId="3" fontId="19" fillId="0" borderId="11" xfId="39" applyNumberFormat="1" applyFont="1" applyBorder="1" applyAlignment="1" applyProtection="1">
      <alignment horizontal="right" vertical="center" wrapText="1"/>
      <protection locked="0"/>
    </xf>
    <xf numFmtId="3" fontId="19" fillId="0" borderId="11" xfId="0" applyNumberFormat="1" applyFont="1" applyBorder="1" applyAlignment="1" applyProtection="1">
      <alignment horizontal="right" vertical="center"/>
      <protection locked="0"/>
    </xf>
    <xf numFmtId="3" fontId="20" fillId="0" borderId="11" xfId="0" applyNumberFormat="1" applyFont="1" applyBorder="1" applyAlignment="1" applyProtection="1">
      <alignment horizontal="right" vertical="center"/>
      <protection locked="0"/>
    </xf>
    <xf numFmtId="3" fontId="26" fillId="0" borderId="11" xfId="0" applyNumberFormat="1" applyFont="1" applyBorder="1" applyAlignment="1" applyProtection="1">
      <alignment horizontal="right"/>
      <protection locked="0"/>
    </xf>
    <xf numFmtId="3" fontId="26" fillId="0" borderId="12" xfId="0" applyNumberFormat="1" applyFont="1" applyBorder="1" applyAlignment="1" applyProtection="1">
      <alignment horizontal="right"/>
      <protection locked="0"/>
    </xf>
    <xf numFmtId="3" fontId="19" fillId="0" borderId="12" xfId="0" applyNumberFormat="1" applyFont="1" applyBorder="1" applyAlignment="1" applyProtection="1">
      <alignment horizontal="right" vertical="center"/>
      <protection locked="0"/>
    </xf>
    <xf numFmtId="3" fontId="26" fillId="0" borderId="11" xfId="0" applyNumberFormat="1" applyFont="1" applyBorder="1" applyAlignment="1" applyProtection="1">
      <alignment horizontal="right" vertical="center"/>
      <protection locked="0"/>
    </xf>
    <xf numFmtId="3" fontId="22" fillId="0" borderId="11" xfId="0" applyNumberFormat="1" applyFont="1" applyBorder="1" applyAlignment="1" applyProtection="1">
      <alignment horizontal="right" vertical="center"/>
      <protection locked="0"/>
    </xf>
    <xf numFmtId="3" fontId="19" fillId="0" borderId="11" xfId="0" applyNumberFormat="1" applyFont="1" applyBorder="1" applyAlignment="1" applyProtection="1">
      <alignment horizontal="right" vertical="center" wrapText="1"/>
      <protection locked="0"/>
    </xf>
    <xf numFmtId="3" fontId="19" fillId="0" borderId="16" xfId="0" applyNumberFormat="1" applyFont="1" applyBorder="1" applyAlignment="1" applyProtection="1">
      <alignment horizontal="right" vertical="center" wrapText="1"/>
      <protection locked="0"/>
    </xf>
    <xf numFmtId="3" fontId="19" fillId="0" borderId="16" xfId="0" applyNumberFormat="1" applyFont="1" applyBorder="1" applyAlignment="1" applyProtection="1">
      <alignment horizontal="right" vertical="center"/>
      <protection locked="0"/>
    </xf>
    <xf numFmtId="0" fontId="26" fillId="24" borderId="11" xfId="0" applyFont="1" applyFill="1" applyBorder="1" applyAlignment="1">
      <alignment vertical="center"/>
    </xf>
    <xf numFmtId="0" fontId="19" fillId="24" borderId="14" xfId="0" applyFont="1" applyFill="1" applyBorder="1" applyAlignment="1">
      <alignment vertical="center"/>
    </xf>
    <xf numFmtId="0" fontId="19" fillId="24" borderId="14" xfId="0" applyFont="1" applyFill="1" applyBorder="1" applyAlignment="1">
      <alignment vertical="center" wrapText="1"/>
    </xf>
    <xf numFmtId="0" fontId="19" fillId="24" borderId="11" xfId="0" applyFont="1" applyFill="1" applyBorder="1" applyAlignment="1">
      <alignment vertical="center" wrapText="1"/>
    </xf>
    <xf numFmtId="0" fontId="19" fillId="24" borderId="11" xfId="0" applyFont="1" applyFill="1" applyBorder="1" applyAlignment="1">
      <alignment horizontal="left" vertical="center" wrapText="1"/>
    </xf>
    <xf numFmtId="0" fontId="28" fillId="25" borderId="11" xfId="0" applyFont="1" applyFill="1" applyBorder="1" applyAlignment="1">
      <alignment horizontal="center" vertical="center"/>
    </xf>
    <xf numFmtId="0" fontId="28" fillId="25" borderId="12" xfId="0" applyFont="1" applyFill="1" applyBorder="1" applyAlignment="1">
      <alignment horizontal="center" vertical="center"/>
    </xf>
    <xf numFmtId="0" fontId="26" fillId="0" borderId="0" xfId="0" applyFont="1" applyAlignment="1">
      <alignment horizontal="center" vertical="center"/>
    </xf>
    <xf numFmtId="0" fontId="22" fillId="0" borderId="0" xfId="0" applyFont="1" applyAlignment="1">
      <alignment horizontal="right"/>
    </xf>
    <xf numFmtId="0" fontId="22" fillId="0" borderId="0" xfId="0" applyFont="1" applyAlignment="1">
      <alignment horizontal="center"/>
    </xf>
    <xf numFmtId="0" fontId="23" fillId="0" borderId="0" xfId="0" applyFont="1" applyAlignment="1">
      <alignment horizontal="center" vertical="center" wrapText="1"/>
    </xf>
    <xf numFmtId="0" fontId="26" fillId="0" borderId="21" xfId="0" applyFont="1" applyBorder="1" applyAlignment="1">
      <alignment horizontal="right" vertical="center"/>
    </xf>
    <xf numFmtId="0" fontId="22" fillId="0" borderId="10" xfId="0" applyFont="1" applyBorder="1" applyAlignment="1">
      <alignment horizontal="center" vertical="center" wrapText="1"/>
    </xf>
    <xf numFmtId="0" fontId="22" fillId="0" borderId="10" xfId="0" applyFont="1" applyBorder="1" applyAlignment="1">
      <alignment horizontal="center" vertical="center"/>
    </xf>
    <xf numFmtId="0" fontId="22" fillId="0" borderId="18"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6" fillId="0" borderId="10"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0" xfId="0" applyFont="1" applyAlignment="1">
      <alignment horizontal="justify" vertical="justify" wrapText="1"/>
    </xf>
    <xf numFmtId="0" fontId="0" fillId="0" borderId="0" xfId="0" applyAlignment="1">
      <alignment horizontal="justify" vertical="justify" wrapText="1"/>
    </xf>
    <xf numFmtId="0" fontId="22" fillId="0" borderId="0" xfId="0" applyFont="1" applyAlignment="1">
      <alignment horizontal="center" vertical="center"/>
    </xf>
    <xf numFmtId="0" fontId="22" fillId="0" borderId="0" xfId="0" applyFont="1" applyAlignment="1">
      <alignment horizontal="left" vertical="center"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 5" xfId="38"/>
    <cellStyle name="Normal_1a. Mau bieu Ke hoach hoa  949 ngay 08-6-2004" xfId="39"/>
    <cellStyle name="Note" xfId="40" builtinId="10" customBuiltin="1"/>
    <cellStyle name="Output" xfId="41" builtinId="21" customBuiltin="1"/>
    <cellStyle name="Percent" xfId="42" builtinId="5"/>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Z134"/>
  <sheetViews>
    <sheetView tabSelected="1" zoomScaleNormal="100" workbookViewId="0">
      <selection activeCell="J7" sqref="J7"/>
    </sheetView>
  </sheetViews>
  <sheetFormatPr defaultColWidth="9.109375" defaultRowHeight="15.6"/>
  <cols>
    <col min="1" max="1" width="6.44140625" style="1" customWidth="1"/>
    <col min="2" max="2" width="12.33203125" style="1" customWidth="1"/>
    <col min="3" max="3" width="74.88671875" style="1" customWidth="1"/>
    <col min="4" max="4" width="15.44140625" style="1" customWidth="1"/>
    <col min="5" max="5" width="14.88671875" style="1" customWidth="1"/>
    <col min="6" max="6" width="15.33203125" style="1" customWidth="1"/>
    <col min="7" max="7" width="14" style="1" customWidth="1"/>
    <col min="8" max="8" width="11.5546875" style="2" customWidth="1"/>
    <col min="9" max="16384" width="9.109375" style="2"/>
  </cols>
  <sheetData>
    <row r="1" spans="1:52">
      <c r="A1" s="2"/>
      <c r="B1" s="2"/>
      <c r="F1" s="6"/>
      <c r="G1" s="6" t="s">
        <v>217</v>
      </c>
      <c r="H1" s="6"/>
    </row>
    <row r="2" spans="1:52">
      <c r="A2" s="8" t="s">
        <v>39</v>
      </c>
      <c r="B2" s="8"/>
      <c r="E2" s="105" t="s">
        <v>87</v>
      </c>
      <c r="F2" s="105"/>
      <c r="G2" s="105"/>
      <c r="H2" s="105"/>
    </row>
    <row r="3" spans="1:52">
      <c r="A3" s="8" t="s">
        <v>45</v>
      </c>
      <c r="B3" s="8"/>
      <c r="C3" s="8"/>
      <c r="D3" s="106" t="s">
        <v>0</v>
      </c>
      <c r="E3" s="106"/>
      <c r="F3" s="106"/>
      <c r="G3" s="106"/>
      <c r="H3" s="106"/>
    </row>
    <row r="4" spans="1:52">
      <c r="A4" s="2"/>
      <c r="B4" s="2"/>
      <c r="C4" s="8"/>
      <c r="D4" s="8"/>
      <c r="E4" s="107" t="s">
        <v>46</v>
      </c>
      <c r="F4" s="107"/>
      <c r="G4" s="107"/>
      <c r="H4" s="107"/>
    </row>
    <row r="5" spans="1:52" ht="21.9" customHeight="1">
      <c r="A5" s="108" t="s">
        <v>212</v>
      </c>
      <c r="B5" s="108"/>
      <c r="C5" s="108"/>
      <c r="D5" s="108"/>
      <c r="E5" s="108"/>
      <c r="F5" s="108"/>
      <c r="G5" s="108"/>
      <c r="H5" s="108"/>
    </row>
    <row r="6" spans="1:52" ht="23.25" customHeight="1">
      <c r="F6" s="109" t="s">
        <v>21</v>
      </c>
      <c r="G6" s="109"/>
      <c r="H6" s="109"/>
    </row>
    <row r="7" spans="1:52" ht="27" customHeight="1">
      <c r="A7" s="110" t="s">
        <v>1</v>
      </c>
      <c r="B7" s="112"/>
      <c r="C7" s="110" t="s">
        <v>2</v>
      </c>
      <c r="D7" s="110" t="s">
        <v>213</v>
      </c>
      <c r="E7" s="110" t="s">
        <v>214</v>
      </c>
      <c r="F7" s="111" t="s">
        <v>215</v>
      </c>
      <c r="G7" s="111"/>
      <c r="H7" s="111"/>
    </row>
    <row r="8" spans="1:52" ht="32.25" customHeight="1">
      <c r="A8" s="110"/>
      <c r="B8" s="113"/>
      <c r="C8" s="110"/>
      <c r="D8" s="110"/>
      <c r="E8" s="110"/>
      <c r="F8" s="112" t="s">
        <v>26</v>
      </c>
      <c r="G8" s="115" t="s">
        <v>216</v>
      </c>
      <c r="H8" s="116"/>
    </row>
    <row r="9" spans="1:52" ht="17.25" customHeight="1">
      <c r="A9" s="110"/>
      <c r="B9" s="113"/>
      <c r="C9" s="110"/>
      <c r="D9" s="110"/>
      <c r="E9" s="110"/>
      <c r="F9" s="113"/>
      <c r="G9" s="117" t="s">
        <v>19</v>
      </c>
      <c r="H9" s="118" t="s">
        <v>20</v>
      </c>
    </row>
    <row r="10" spans="1:52" ht="21" customHeight="1">
      <c r="A10" s="110"/>
      <c r="B10" s="114"/>
      <c r="C10" s="110"/>
      <c r="D10" s="110"/>
      <c r="E10" s="110"/>
      <c r="F10" s="114"/>
      <c r="G10" s="117"/>
      <c r="H10" s="118"/>
    </row>
    <row r="11" spans="1:52" ht="18.75" customHeight="1">
      <c r="A11" s="7">
        <v>1</v>
      </c>
      <c r="B11" s="7"/>
      <c r="C11" s="7">
        <v>2</v>
      </c>
      <c r="D11" s="7">
        <v>3</v>
      </c>
      <c r="E11" s="7">
        <v>4</v>
      </c>
      <c r="F11" s="7">
        <v>5</v>
      </c>
      <c r="G11" s="7">
        <v>6</v>
      </c>
      <c r="H11" s="53">
        <v>7</v>
      </c>
    </row>
    <row r="12" spans="1:52" s="25" customFormat="1" ht="25.5" customHeight="1">
      <c r="A12" s="33" t="s">
        <v>9</v>
      </c>
      <c r="B12" s="61" t="s">
        <v>108</v>
      </c>
      <c r="C12" s="33" t="s">
        <v>10</v>
      </c>
      <c r="D12" s="24">
        <f>D21</f>
        <v>0</v>
      </c>
      <c r="E12" s="24">
        <f>E21</f>
        <v>0</v>
      </c>
      <c r="F12" s="24">
        <f>F21</f>
        <v>0</v>
      </c>
      <c r="G12" s="24">
        <f>G21</f>
        <v>0</v>
      </c>
      <c r="H12" s="44">
        <f>IF(AND(F12=G12,F12&lt;&gt;0),1,IFERROR(G12/E12,0))</f>
        <v>0</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s="25" customFormat="1" ht="22.5" customHeight="1">
      <c r="A13" s="31" t="s">
        <v>3</v>
      </c>
      <c r="B13" s="62" t="s">
        <v>109</v>
      </c>
      <c r="C13" s="32" t="s">
        <v>24</v>
      </c>
      <c r="D13" s="24">
        <f>D12-D18</f>
        <v>0</v>
      </c>
      <c r="E13" s="24">
        <f>E12-E18</f>
        <v>0</v>
      </c>
      <c r="F13" s="24">
        <f>F12-F18</f>
        <v>0</v>
      </c>
      <c r="G13" s="24">
        <f>G12-G18</f>
        <v>0</v>
      </c>
      <c r="H13" s="44">
        <f>IF(AND(F13=G13,F13&lt;&gt;0),1,IFERROR(G13/E13,0))</f>
        <v>0</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s="15" customFormat="1" ht="68.25" customHeight="1">
      <c r="A14" s="26" t="s">
        <v>9</v>
      </c>
      <c r="B14" s="26" t="s">
        <v>110</v>
      </c>
      <c r="C14" s="27" t="s">
        <v>25</v>
      </c>
      <c r="D14" s="34">
        <f>D13-D15</f>
        <v>0</v>
      </c>
      <c r="E14" s="34">
        <f>E13-E15</f>
        <v>0</v>
      </c>
      <c r="F14" s="34">
        <f>F13-F15</f>
        <v>0</v>
      </c>
      <c r="G14" s="34">
        <f>G13-G15</f>
        <v>0</v>
      </c>
      <c r="H14" s="45">
        <f>IF(AND(F14=G14,F14&lt;&gt;0),1,IFERROR(G14/E14,0))</f>
        <v>0</v>
      </c>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spans="1:52" s="15" customFormat="1" ht="28.5" customHeight="1">
      <c r="A15" s="28" t="s">
        <v>11</v>
      </c>
      <c r="B15" s="28" t="s">
        <v>111</v>
      </c>
      <c r="C15" s="27" t="s">
        <v>17</v>
      </c>
      <c r="D15" s="35">
        <f>D16+D17</f>
        <v>0</v>
      </c>
      <c r="E15" s="35">
        <f>E16+E17</f>
        <v>0</v>
      </c>
      <c r="F15" s="35">
        <f>F16+F17</f>
        <v>0</v>
      </c>
      <c r="G15" s="35">
        <f>G16+G17</f>
        <v>0</v>
      </c>
      <c r="H15" s="46">
        <f>IF(AND(F15=G15,F15&lt;&gt;0),1,IFERROR(G15/E15,0))</f>
        <v>0</v>
      </c>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spans="1:52" s="5" customFormat="1" ht="30" customHeight="1">
      <c r="A16" s="28">
        <v>1</v>
      </c>
      <c r="B16" s="26" t="s">
        <v>112</v>
      </c>
      <c r="C16" s="27" t="s">
        <v>81</v>
      </c>
      <c r="D16" s="87"/>
      <c r="E16" s="88"/>
      <c r="F16" s="88"/>
      <c r="G16" s="41">
        <f>F16-E16</f>
        <v>0</v>
      </c>
      <c r="H16" s="54">
        <f>IF(AND(F16=G16,F16&lt;&gt;0),1,IFERROR(G16/E16,0))</f>
        <v>0</v>
      </c>
    </row>
    <row r="17" spans="1:52" s="5" customFormat="1" ht="22.5" customHeight="1">
      <c r="A17" s="26">
        <v>2</v>
      </c>
      <c r="B17" s="28" t="s">
        <v>113</v>
      </c>
      <c r="C17" s="18" t="s">
        <v>82</v>
      </c>
      <c r="D17" s="88"/>
      <c r="E17" s="88"/>
      <c r="F17" s="88"/>
      <c r="G17" s="41">
        <f>F17-E17</f>
        <v>0</v>
      </c>
      <c r="H17" s="54">
        <f t="shared" ref="H17:H79" si="0">IF(AND(F17=G17,F17&lt;&gt;0),1,IFERROR(G17/E17,0))</f>
        <v>0</v>
      </c>
    </row>
    <row r="18" spans="1:52" ht="22.5" customHeight="1">
      <c r="A18" s="63" t="s">
        <v>5</v>
      </c>
      <c r="B18" s="26" t="s">
        <v>114</v>
      </c>
      <c r="C18" s="64" t="s">
        <v>47</v>
      </c>
      <c r="D18" s="89"/>
      <c r="E18" s="88"/>
      <c r="F18" s="88"/>
      <c r="G18" s="41">
        <f>F18-E18</f>
        <v>0</v>
      </c>
      <c r="H18" s="54">
        <f t="shared" si="0"/>
        <v>0</v>
      </c>
    </row>
    <row r="19" spans="1:52" ht="22.5" customHeight="1">
      <c r="A19" s="103" t="s">
        <v>4</v>
      </c>
      <c r="B19" s="28" t="s">
        <v>115</v>
      </c>
      <c r="C19" s="65" t="s">
        <v>83</v>
      </c>
      <c r="D19" s="90"/>
      <c r="E19" s="88"/>
      <c r="F19" s="88"/>
      <c r="G19" s="41">
        <f>F19-E19</f>
        <v>0</v>
      </c>
      <c r="H19" s="55">
        <f t="shared" si="0"/>
        <v>0</v>
      </c>
    </row>
    <row r="20" spans="1:52" ht="22.5" customHeight="1">
      <c r="A20" s="104"/>
      <c r="B20" s="26" t="s">
        <v>116</v>
      </c>
      <c r="C20" s="66" t="s">
        <v>84</v>
      </c>
      <c r="D20" s="91"/>
      <c r="E20" s="92"/>
      <c r="F20" s="92"/>
      <c r="G20" s="42">
        <f>F20-E20</f>
        <v>0</v>
      </c>
      <c r="H20" s="56">
        <f t="shared" si="0"/>
        <v>0</v>
      </c>
    </row>
    <row r="21" spans="1:52" s="25" customFormat="1" ht="25.5" customHeight="1">
      <c r="A21" s="33" t="s">
        <v>11</v>
      </c>
      <c r="B21" s="28" t="s">
        <v>117</v>
      </c>
      <c r="C21" s="39" t="s">
        <v>12</v>
      </c>
      <c r="D21" s="40">
        <f>D22+D67+D94</f>
        <v>0</v>
      </c>
      <c r="E21" s="40">
        <f>E22+E67+E94</f>
        <v>0</v>
      </c>
      <c r="F21" s="40">
        <f>F22+F67+F94</f>
        <v>0</v>
      </c>
      <c r="G21" s="40">
        <f>G22+G67+G94</f>
        <v>0</v>
      </c>
      <c r="H21" s="47">
        <f t="shared" si="0"/>
        <v>0</v>
      </c>
      <c r="I21" s="85"/>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s="15" customFormat="1" ht="22.5" customHeight="1">
      <c r="A22" s="36" t="s">
        <v>3</v>
      </c>
      <c r="B22" s="26" t="s">
        <v>118</v>
      </c>
      <c r="C22" s="37" t="s">
        <v>42</v>
      </c>
      <c r="D22" s="38">
        <f>D23+D61</f>
        <v>0</v>
      </c>
      <c r="E22" s="38">
        <f>E23+E61</f>
        <v>0</v>
      </c>
      <c r="F22" s="38">
        <f>F23+F61</f>
        <v>0</v>
      </c>
      <c r="G22" s="38">
        <f>G23+G61</f>
        <v>0</v>
      </c>
      <c r="H22" s="48">
        <f t="shared" si="0"/>
        <v>0</v>
      </c>
      <c r="I22" s="86"/>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spans="1:52" s="15" customFormat="1" ht="31.5" customHeight="1">
      <c r="A23" s="13" t="s">
        <v>99</v>
      </c>
      <c r="B23" s="17" t="s">
        <v>200</v>
      </c>
      <c r="C23" s="30" t="s">
        <v>104</v>
      </c>
      <c r="D23" s="29">
        <f>SUM(D24:D52)+D60-D46-D31-D47</f>
        <v>0</v>
      </c>
      <c r="E23" s="29">
        <f t="shared" ref="E23:G23" si="1">SUM(E24:E52)+E60-E46-E31-E47</f>
        <v>0</v>
      </c>
      <c r="F23" s="29">
        <f t="shared" si="1"/>
        <v>0</v>
      </c>
      <c r="G23" s="29">
        <f t="shared" si="1"/>
        <v>0</v>
      </c>
      <c r="H23" s="49">
        <f t="shared" si="0"/>
        <v>0</v>
      </c>
      <c r="I23" s="86"/>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spans="1:52" ht="22.5" customHeight="1">
      <c r="A24" s="17">
        <v>1</v>
      </c>
      <c r="B24" s="17" t="s">
        <v>119</v>
      </c>
      <c r="C24" s="18" t="s">
        <v>72</v>
      </c>
      <c r="D24" s="88"/>
      <c r="E24" s="88"/>
      <c r="F24" s="88"/>
      <c r="G24" s="58">
        <f t="shared" ref="G24:G50" si="2">F24-E24</f>
        <v>0</v>
      </c>
      <c r="H24" s="55">
        <f t="shared" si="0"/>
        <v>0</v>
      </c>
    </row>
    <row r="25" spans="1:52" ht="22.5" customHeight="1">
      <c r="A25" s="17">
        <v>2</v>
      </c>
      <c r="B25" s="17" t="s">
        <v>120</v>
      </c>
      <c r="C25" s="67" t="s">
        <v>73</v>
      </c>
      <c r="D25" s="88"/>
      <c r="E25" s="93"/>
      <c r="F25" s="93"/>
      <c r="G25" s="58">
        <f t="shared" si="2"/>
        <v>0</v>
      </c>
      <c r="H25" s="55">
        <f t="shared" si="0"/>
        <v>0</v>
      </c>
    </row>
    <row r="26" spans="1:52" ht="22.5" customHeight="1">
      <c r="A26" s="17">
        <v>3</v>
      </c>
      <c r="B26" s="17" t="s">
        <v>121</v>
      </c>
      <c r="C26" s="68" t="s">
        <v>74</v>
      </c>
      <c r="D26" s="88"/>
      <c r="E26" s="93"/>
      <c r="F26" s="93"/>
      <c r="G26" s="58">
        <f t="shared" si="2"/>
        <v>0</v>
      </c>
      <c r="H26" s="55">
        <f t="shared" si="0"/>
        <v>0</v>
      </c>
    </row>
    <row r="27" spans="1:52" ht="22.5" customHeight="1">
      <c r="A27" s="17">
        <v>4</v>
      </c>
      <c r="B27" s="17" t="s">
        <v>122</v>
      </c>
      <c r="C27" s="68" t="s">
        <v>75</v>
      </c>
      <c r="D27" s="88"/>
      <c r="E27" s="88"/>
      <c r="F27" s="88"/>
      <c r="G27" s="58">
        <f t="shared" si="2"/>
        <v>0</v>
      </c>
      <c r="H27" s="55">
        <f t="shared" si="0"/>
        <v>0</v>
      </c>
    </row>
    <row r="28" spans="1:52" ht="40.5" customHeight="1">
      <c r="A28" s="17">
        <v>5</v>
      </c>
      <c r="B28" s="17" t="s">
        <v>123</v>
      </c>
      <c r="C28" s="69" t="s">
        <v>105</v>
      </c>
      <c r="D28" s="88"/>
      <c r="E28" s="88"/>
      <c r="F28" s="88"/>
      <c r="G28" s="58">
        <f t="shared" si="2"/>
        <v>0</v>
      </c>
      <c r="H28" s="55">
        <f t="shared" si="0"/>
        <v>0</v>
      </c>
    </row>
    <row r="29" spans="1:52" ht="52.5" customHeight="1">
      <c r="A29" s="17">
        <v>6</v>
      </c>
      <c r="B29" s="17" t="s">
        <v>124</v>
      </c>
      <c r="C29" s="69" t="s">
        <v>106</v>
      </c>
      <c r="D29" s="88"/>
      <c r="E29" s="88"/>
      <c r="F29" s="88"/>
      <c r="G29" s="58">
        <f t="shared" si="2"/>
        <v>0</v>
      </c>
      <c r="H29" s="55">
        <f t="shared" si="0"/>
        <v>0</v>
      </c>
    </row>
    <row r="30" spans="1:52" ht="51.75" customHeight="1">
      <c r="A30" s="17">
        <v>7</v>
      </c>
      <c r="B30" s="17" t="s">
        <v>125</v>
      </c>
      <c r="C30" s="68" t="s">
        <v>78</v>
      </c>
      <c r="D30" s="88"/>
      <c r="E30" s="88"/>
      <c r="F30" s="88"/>
      <c r="G30" s="58">
        <f t="shared" si="2"/>
        <v>0</v>
      </c>
      <c r="H30" s="55">
        <f t="shared" si="0"/>
        <v>0</v>
      </c>
    </row>
    <row r="31" spans="1:52" ht="24" customHeight="1">
      <c r="A31" s="70" t="s">
        <v>23</v>
      </c>
      <c r="B31" s="17" t="s">
        <v>126</v>
      </c>
      <c r="C31" s="71" t="s">
        <v>61</v>
      </c>
      <c r="D31" s="88"/>
      <c r="E31" s="88"/>
      <c r="F31" s="88"/>
      <c r="G31" s="58">
        <f t="shared" si="2"/>
        <v>0</v>
      </c>
      <c r="H31" s="55">
        <f t="shared" si="0"/>
        <v>0</v>
      </c>
    </row>
    <row r="32" spans="1:52" s="11" customFormat="1" ht="26.25" customHeight="1">
      <c r="A32" s="17">
        <v>8</v>
      </c>
      <c r="B32" s="17" t="s">
        <v>127</v>
      </c>
      <c r="C32" s="68" t="s">
        <v>76</v>
      </c>
      <c r="D32" s="88"/>
      <c r="E32" s="88"/>
      <c r="F32" s="88"/>
      <c r="G32" s="58">
        <f t="shared" si="2"/>
        <v>0</v>
      </c>
      <c r="H32" s="55">
        <f t="shared" si="0"/>
        <v>0</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ht="24" customHeight="1">
      <c r="A33" s="17">
        <v>9</v>
      </c>
      <c r="B33" s="17" t="s">
        <v>128</v>
      </c>
      <c r="C33" s="68" t="s">
        <v>60</v>
      </c>
      <c r="D33" s="88"/>
      <c r="E33" s="88"/>
      <c r="F33" s="88"/>
      <c r="G33" s="58">
        <f t="shared" si="2"/>
        <v>0</v>
      </c>
      <c r="H33" s="55">
        <f t="shared" si="0"/>
        <v>0</v>
      </c>
    </row>
    <row r="34" spans="1:52" ht="24" customHeight="1">
      <c r="A34" s="17">
        <v>10</v>
      </c>
      <c r="B34" s="17" t="s">
        <v>129</v>
      </c>
      <c r="C34" s="68" t="s">
        <v>62</v>
      </c>
      <c r="D34" s="88"/>
      <c r="E34" s="88"/>
      <c r="F34" s="88"/>
      <c r="G34" s="58">
        <f t="shared" si="2"/>
        <v>0</v>
      </c>
      <c r="H34" s="55">
        <f t="shared" si="0"/>
        <v>0</v>
      </c>
    </row>
    <row r="35" spans="1:52" s="11" customFormat="1" ht="24" customHeight="1">
      <c r="A35" s="17">
        <v>11</v>
      </c>
      <c r="B35" s="17" t="s">
        <v>130</v>
      </c>
      <c r="C35" s="68" t="s">
        <v>6</v>
      </c>
      <c r="D35" s="88"/>
      <c r="E35" s="88"/>
      <c r="F35" s="88"/>
      <c r="G35" s="58">
        <f t="shared" si="2"/>
        <v>0</v>
      </c>
      <c r="H35" s="55">
        <f t="shared" si="0"/>
        <v>0</v>
      </c>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s="11" customFormat="1" ht="30.75" customHeight="1">
      <c r="A36" s="17">
        <v>12</v>
      </c>
      <c r="B36" s="17" t="s">
        <v>131</v>
      </c>
      <c r="C36" s="68" t="s">
        <v>93</v>
      </c>
      <c r="D36" s="88"/>
      <c r="E36" s="88"/>
      <c r="F36" s="88"/>
      <c r="G36" s="58">
        <f t="shared" si="2"/>
        <v>0</v>
      </c>
      <c r="H36" s="55">
        <f t="shared" si="0"/>
        <v>0</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s="11" customFormat="1" ht="31.2">
      <c r="A37" s="17">
        <v>13</v>
      </c>
      <c r="B37" s="17" t="s">
        <v>132</v>
      </c>
      <c r="C37" s="68" t="s">
        <v>66</v>
      </c>
      <c r="D37" s="88"/>
      <c r="E37" s="88"/>
      <c r="F37" s="88"/>
      <c r="G37" s="58">
        <f t="shared" si="2"/>
        <v>0</v>
      </c>
      <c r="H37" s="55">
        <f t="shared" si="0"/>
        <v>0</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s="11" customFormat="1" ht="31.2">
      <c r="A38" s="17">
        <v>14</v>
      </c>
      <c r="B38" s="17" t="s">
        <v>133</v>
      </c>
      <c r="C38" s="68" t="s">
        <v>67</v>
      </c>
      <c r="D38" s="88"/>
      <c r="E38" s="88"/>
      <c r="F38" s="88"/>
      <c r="G38" s="58">
        <f t="shared" si="2"/>
        <v>0</v>
      </c>
      <c r="H38" s="55">
        <f t="shared" si="0"/>
        <v>0</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s="11" customFormat="1" ht="24" customHeight="1">
      <c r="A39" s="17">
        <v>15</v>
      </c>
      <c r="B39" s="17" t="s">
        <v>134</v>
      </c>
      <c r="C39" s="18" t="s">
        <v>65</v>
      </c>
      <c r="D39" s="88"/>
      <c r="E39" s="88"/>
      <c r="F39" s="88"/>
      <c r="G39" s="58">
        <f t="shared" si="2"/>
        <v>0</v>
      </c>
      <c r="H39" s="55">
        <f t="shared" si="0"/>
        <v>0</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s="11" customFormat="1" ht="24" customHeight="1">
      <c r="A40" s="17">
        <v>16</v>
      </c>
      <c r="B40" s="17" t="s">
        <v>135</v>
      </c>
      <c r="C40" s="68" t="s">
        <v>71</v>
      </c>
      <c r="D40" s="88"/>
      <c r="E40" s="88"/>
      <c r="F40" s="88"/>
      <c r="G40" s="58">
        <f t="shared" si="2"/>
        <v>0</v>
      </c>
      <c r="H40" s="55">
        <f t="shared" si="0"/>
        <v>0</v>
      </c>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s="11" customFormat="1" ht="24" customHeight="1">
      <c r="A41" s="17">
        <v>17</v>
      </c>
      <c r="B41" s="17" t="s">
        <v>136</v>
      </c>
      <c r="C41" s="68" t="s">
        <v>70</v>
      </c>
      <c r="D41" s="88"/>
      <c r="E41" s="88"/>
      <c r="F41" s="88"/>
      <c r="G41" s="58">
        <f t="shared" si="2"/>
        <v>0</v>
      </c>
      <c r="H41" s="55">
        <f t="shared" si="0"/>
        <v>0</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ht="20.100000000000001" customHeight="1">
      <c r="A42" s="17">
        <v>18</v>
      </c>
      <c r="B42" s="17" t="s">
        <v>137</v>
      </c>
      <c r="C42" s="68" t="s">
        <v>22</v>
      </c>
      <c r="D42" s="88"/>
      <c r="E42" s="88"/>
      <c r="F42" s="88"/>
      <c r="G42" s="58">
        <f t="shared" si="2"/>
        <v>0</v>
      </c>
      <c r="H42" s="55">
        <f t="shared" si="0"/>
        <v>0</v>
      </c>
    </row>
    <row r="43" spans="1:52" s="11" customFormat="1" ht="31.2">
      <c r="A43" s="17">
        <v>19</v>
      </c>
      <c r="B43" s="17" t="s">
        <v>138</v>
      </c>
      <c r="C43" s="68" t="s">
        <v>96</v>
      </c>
      <c r="D43" s="88"/>
      <c r="E43" s="88"/>
      <c r="F43" s="88"/>
      <c r="G43" s="58">
        <f t="shared" si="2"/>
        <v>0</v>
      </c>
      <c r="H43" s="55">
        <f t="shared" si="0"/>
        <v>0</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s="11" customFormat="1" ht="56.25" customHeight="1">
      <c r="A44" s="17">
        <v>20</v>
      </c>
      <c r="B44" s="17" t="s">
        <v>139</v>
      </c>
      <c r="C44" s="72" t="s">
        <v>59</v>
      </c>
      <c r="D44" s="88"/>
      <c r="E44" s="88"/>
      <c r="F44" s="88"/>
      <c r="G44" s="58">
        <f t="shared" si="2"/>
        <v>0</v>
      </c>
      <c r="H44" s="55">
        <f t="shared" si="0"/>
        <v>0</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ht="33" customHeight="1">
      <c r="A45" s="17">
        <v>21</v>
      </c>
      <c r="B45" s="17" t="s">
        <v>140</v>
      </c>
      <c r="C45" s="68" t="s">
        <v>102</v>
      </c>
      <c r="D45" s="88"/>
      <c r="E45" s="88"/>
      <c r="F45" s="88"/>
      <c r="G45" s="58">
        <f t="shared" si="2"/>
        <v>0</v>
      </c>
      <c r="H45" s="55">
        <f t="shared" si="0"/>
        <v>0</v>
      </c>
    </row>
    <row r="46" spans="1:52" ht="22.5" customHeight="1">
      <c r="A46" s="17"/>
      <c r="B46" s="17" t="s">
        <v>141</v>
      </c>
      <c r="C46" s="73" t="s">
        <v>97</v>
      </c>
      <c r="D46" s="88"/>
      <c r="E46" s="88"/>
      <c r="F46" s="88"/>
      <c r="G46" s="58">
        <f t="shared" si="2"/>
        <v>0</v>
      </c>
      <c r="H46" s="55">
        <f t="shared" si="0"/>
        <v>0</v>
      </c>
    </row>
    <row r="47" spans="1:52" ht="22.5" customHeight="1">
      <c r="A47" s="17"/>
      <c r="B47" s="17"/>
      <c r="C47" s="98" t="s">
        <v>98</v>
      </c>
      <c r="D47" s="88"/>
      <c r="E47" s="88"/>
      <c r="F47" s="88"/>
      <c r="G47" s="58"/>
      <c r="H47" s="55"/>
    </row>
    <row r="48" spans="1:52" s="11" customFormat="1" ht="32.25" customHeight="1">
      <c r="A48" s="17">
        <v>22</v>
      </c>
      <c r="B48" s="17" t="s">
        <v>142</v>
      </c>
      <c r="C48" s="69" t="s">
        <v>89</v>
      </c>
      <c r="D48" s="88"/>
      <c r="E48" s="88"/>
      <c r="F48" s="88"/>
      <c r="G48" s="58">
        <f t="shared" si="2"/>
        <v>0</v>
      </c>
      <c r="H48" s="55">
        <f t="shared" si="0"/>
        <v>0</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s="11" customFormat="1" ht="27.75" customHeight="1">
      <c r="A49" s="17">
        <v>23</v>
      </c>
      <c r="B49" s="17" t="s">
        <v>143</v>
      </c>
      <c r="C49" s="72" t="s">
        <v>79</v>
      </c>
      <c r="D49" s="88"/>
      <c r="E49" s="88"/>
      <c r="F49" s="88"/>
      <c r="G49" s="58">
        <f t="shared" si="2"/>
        <v>0</v>
      </c>
      <c r="H49" s="55">
        <f t="shared" si="0"/>
        <v>0</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s="11" customFormat="1" ht="31.2">
      <c r="A50" s="17">
        <v>24</v>
      </c>
      <c r="B50" s="17" t="s">
        <v>144</v>
      </c>
      <c r="C50" s="72" t="s">
        <v>77</v>
      </c>
      <c r="D50" s="88"/>
      <c r="E50" s="88"/>
      <c r="F50" s="88"/>
      <c r="G50" s="58">
        <f t="shared" si="2"/>
        <v>0</v>
      </c>
      <c r="H50" s="55">
        <f t="shared" si="0"/>
        <v>0</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s="11" customFormat="1" ht="31.2">
      <c r="A51" s="17">
        <v>25</v>
      </c>
      <c r="B51" s="17"/>
      <c r="C51" s="102" t="s">
        <v>92</v>
      </c>
      <c r="D51" s="88"/>
      <c r="E51" s="88"/>
      <c r="F51" s="88"/>
      <c r="G51" s="58"/>
      <c r="H51" s="55"/>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s="20" customFormat="1" ht="25.5" customHeight="1">
      <c r="A52" s="17">
        <v>26</v>
      </c>
      <c r="B52" s="17" t="s">
        <v>145</v>
      </c>
      <c r="C52" s="18" t="s">
        <v>58</v>
      </c>
      <c r="D52" s="19">
        <f>SUM(D53:D59)</f>
        <v>0</v>
      </c>
      <c r="E52" s="19">
        <f>SUM(E53:E59)</f>
        <v>0</v>
      </c>
      <c r="F52" s="19">
        <f>SUM(F53:F59)</f>
        <v>0</v>
      </c>
      <c r="G52" s="19">
        <f>SUM(G53:G59)</f>
        <v>0</v>
      </c>
      <c r="H52" s="50">
        <f t="shared" si="0"/>
        <v>0</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s="4" customFormat="1" ht="20.100000000000001" customHeight="1">
      <c r="A53" s="74" t="s">
        <v>4</v>
      </c>
      <c r="B53" s="17" t="s">
        <v>146</v>
      </c>
      <c r="C53" s="75" t="s">
        <v>13</v>
      </c>
      <c r="D53" s="88"/>
      <c r="E53" s="93"/>
      <c r="F53" s="93"/>
      <c r="G53" s="58">
        <f t="shared" ref="G53:G60" si="3">F53-E53</f>
        <v>0</v>
      </c>
      <c r="H53" s="55">
        <f t="shared" si="0"/>
        <v>0</v>
      </c>
    </row>
    <row r="54" spans="1:52" s="4" customFormat="1" ht="20.100000000000001" customHeight="1">
      <c r="A54" s="76"/>
      <c r="B54" s="17" t="s">
        <v>147</v>
      </c>
      <c r="C54" s="75" t="s">
        <v>14</v>
      </c>
      <c r="D54" s="88"/>
      <c r="E54" s="93"/>
      <c r="F54" s="93"/>
      <c r="G54" s="58">
        <f t="shared" si="3"/>
        <v>0</v>
      </c>
      <c r="H54" s="55">
        <f t="shared" si="0"/>
        <v>0</v>
      </c>
    </row>
    <row r="55" spans="1:52" s="4" customFormat="1" ht="20.100000000000001" customHeight="1">
      <c r="A55" s="76"/>
      <c r="B55" s="17" t="s">
        <v>148</v>
      </c>
      <c r="C55" s="73" t="s">
        <v>56</v>
      </c>
      <c r="D55" s="88"/>
      <c r="E55" s="93"/>
      <c r="F55" s="93"/>
      <c r="G55" s="58">
        <f t="shared" si="3"/>
        <v>0</v>
      </c>
      <c r="H55" s="55">
        <f t="shared" si="0"/>
        <v>0</v>
      </c>
    </row>
    <row r="56" spans="1:52" s="4" customFormat="1" ht="20.100000000000001" customHeight="1">
      <c r="A56" s="76"/>
      <c r="B56" s="17" t="s">
        <v>149</v>
      </c>
      <c r="C56" s="73" t="s">
        <v>57</v>
      </c>
      <c r="D56" s="88"/>
      <c r="E56" s="93"/>
      <c r="F56" s="93"/>
      <c r="G56" s="58">
        <f t="shared" si="3"/>
        <v>0</v>
      </c>
      <c r="H56" s="55">
        <f t="shared" si="0"/>
        <v>0</v>
      </c>
    </row>
    <row r="57" spans="1:52" s="4" customFormat="1" ht="20.100000000000001" customHeight="1">
      <c r="A57" s="76"/>
      <c r="B57" s="17" t="s">
        <v>150</v>
      </c>
      <c r="C57" s="75" t="s">
        <v>55</v>
      </c>
      <c r="D57" s="88"/>
      <c r="E57" s="93"/>
      <c r="F57" s="93"/>
      <c r="G57" s="58">
        <f t="shared" si="3"/>
        <v>0</v>
      </c>
      <c r="H57" s="55">
        <f t="shared" si="0"/>
        <v>0</v>
      </c>
    </row>
    <row r="58" spans="1:52" s="4" customFormat="1" ht="20.100000000000001" customHeight="1">
      <c r="A58" s="76"/>
      <c r="B58" s="17" t="s">
        <v>151</v>
      </c>
      <c r="C58" s="75" t="s">
        <v>63</v>
      </c>
      <c r="D58" s="88"/>
      <c r="E58" s="93"/>
      <c r="F58" s="93"/>
      <c r="G58" s="58">
        <f t="shared" si="3"/>
        <v>0</v>
      </c>
      <c r="H58" s="55">
        <f t="shared" si="0"/>
        <v>0</v>
      </c>
    </row>
    <row r="59" spans="1:52" s="4" customFormat="1" ht="20.100000000000001" customHeight="1">
      <c r="A59" s="77"/>
      <c r="B59" s="17" t="s">
        <v>152</v>
      </c>
      <c r="C59" s="75" t="s">
        <v>85</v>
      </c>
      <c r="D59" s="88"/>
      <c r="E59" s="93"/>
      <c r="F59" s="93"/>
      <c r="G59" s="58">
        <f t="shared" si="3"/>
        <v>0</v>
      </c>
      <c r="H59" s="55">
        <f t="shared" si="0"/>
        <v>0</v>
      </c>
    </row>
    <row r="60" spans="1:52" s="4" customFormat="1" ht="25.5" customHeight="1">
      <c r="A60" s="17">
        <v>27</v>
      </c>
      <c r="B60" s="17" t="s">
        <v>153</v>
      </c>
      <c r="C60" s="18" t="s">
        <v>48</v>
      </c>
      <c r="D60" s="88"/>
      <c r="E60" s="93"/>
      <c r="F60" s="93"/>
      <c r="G60" s="58">
        <f t="shared" si="3"/>
        <v>0</v>
      </c>
      <c r="H60" s="55">
        <f t="shared" si="0"/>
        <v>0</v>
      </c>
    </row>
    <row r="61" spans="1:52" s="23" customFormat="1" ht="25.5" customHeight="1">
      <c r="A61" s="13" t="s">
        <v>100</v>
      </c>
      <c r="B61" s="17" t="s">
        <v>154</v>
      </c>
      <c r="C61" s="21" t="s">
        <v>101</v>
      </c>
      <c r="D61" s="22">
        <f>D62+D63+D64+D65+D66</f>
        <v>0</v>
      </c>
      <c r="E61" s="22">
        <f>E62+E63+E64+E65+E66</f>
        <v>0</v>
      </c>
      <c r="F61" s="22">
        <f>F62+F63+F64+F65+F66</f>
        <v>0</v>
      </c>
      <c r="G61" s="22">
        <f>G62+G63+G64+G65+G66</f>
        <v>0</v>
      </c>
      <c r="H61" s="51">
        <f t="shared" si="0"/>
        <v>0</v>
      </c>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row>
    <row r="62" spans="1:52" s="4" customFormat="1" ht="36" customHeight="1">
      <c r="A62" s="17">
        <v>1</v>
      </c>
      <c r="B62" s="17" t="s">
        <v>155</v>
      </c>
      <c r="C62" s="69" t="s">
        <v>88</v>
      </c>
      <c r="D62" s="88"/>
      <c r="E62" s="93"/>
      <c r="F62" s="93"/>
      <c r="G62" s="58">
        <f t="shared" ref="G62:G66" si="4">F62-E62</f>
        <v>0</v>
      </c>
      <c r="H62" s="57">
        <f t="shared" si="0"/>
        <v>0</v>
      </c>
    </row>
    <row r="63" spans="1:52" s="4" customFormat="1" ht="20.100000000000001" customHeight="1">
      <c r="A63" s="17">
        <v>2</v>
      </c>
      <c r="B63" s="17" t="s">
        <v>156</v>
      </c>
      <c r="C63" s="18" t="s">
        <v>69</v>
      </c>
      <c r="D63" s="88"/>
      <c r="E63" s="93"/>
      <c r="F63" s="93"/>
      <c r="G63" s="58">
        <f t="shared" si="4"/>
        <v>0</v>
      </c>
      <c r="H63" s="57">
        <f t="shared" si="0"/>
        <v>0</v>
      </c>
    </row>
    <row r="64" spans="1:52" s="4" customFormat="1" ht="36.75" customHeight="1">
      <c r="A64" s="17">
        <v>3</v>
      </c>
      <c r="B64" s="17" t="s">
        <v>157</v>
      </c>
      <c r="C64" s="69" t="s">
        <v>90</v>
      </c>
      <c r="D64" s="88"/>
      <c r="E64" s="93"/>
      <c r="F64" s="93"/>
      <c r="G64" s="58">
        <f t="shared" si="4"/>
        <v>0</v>
      </c>
      <c r="H64" s="57">
        <f t="shared" si="0"/>
        <v>0</v>
      </c>
    </row>
    <row r="65" spans="1:52" s="4" customFormat="1" ht="33" customHeight="1">
      <c r="A65" s="17">
        <v>4</v>
      </c>
      <c r="B65" s="17" t="s">
        <v>158</v>
      </c>
      <c r="C65" s="69" t="s">
        <v>91</v>
      </c>
      <c r="D65" s="88"/>
      <c r="E65" s="93"/>
      <c r="F65" s="93"/>
      <c r="G65" s="58">
        <f t="shared" si="4"/>
        <v>0</v>
      </c>
      <c r="H65" s="57">
        <f t="shared" si="0"/>
        <v>0</v>
      </c>
    </row>
    <row r="66" spans="1:52" s="4" customFormat="1" ht="38.25" customHeight="1">
      <c r="A66" s="17">
        <v>5</v>
      </c>
      <c r="B66" s="17" t="s">
        <v>159</v>
      </c>
      <c r="C66" s="69" t="s">
        <v>92</v>
      </c>
      <c r="D66" s="88"/>
      <c r="E66" s="93"/>
      <c r="F66" s="93"/>
      <c r="G66" s="58">
        <f t="shared" si="4"/>
        <v>0</v>
      </c>
      <c r="H66" s="57">
        <f t="shared" si="0"/>
        <v>0</v>
      </c>
    </row>
    <row r="67" spans="1:52" s="15" customFormat="1" ht="20.100000000000001" customHeight="1">
      <c r="A67" s="13" t="s">
        <v>5</v>
      </c>
      <c r="B67" s="26" t="s">
        <v>160</v>
      </c>
      <c r="C67" s="14" t="s">
        <v>43</v>
      </c>
      <c r="D67" s="16">
        <f>SUM(D68:D93)-D88-D87-D86-D75-D73</f>
        <v>0</v>
      </c>
      <c r="E67" s="16">
        <f>SUM(E68:E93)-E88-E87-E86-E75-E73</f>
        <v>0</v>
      </c>
      <c r="F67" s="16">
        <f>SUM(F68:F93)-F88-F87-F86-F75-F73</f>
        <v>0</v>
      </c>
      <c r="G67" s="16">
        <f>SUM(G68:G93)-G88-G87-G86-G75-G73</f>
        <v>0</v>
      </c>
      <c r="H67" s="52">
        <f t="shared" si="0"/>
        <v>0</v>
      </c>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spans="1:52" s="3" customFormat="1" ht="24.75" customHeight="1">
      <c r="A68" s="17">
        <v>1</v>
      </c>
      <c r="B68" s="17" t="s">
        <v>161</v>
      </c>
      <c r="C68" s="18" t="s">
        <v>72</v>
      </c>
      <c r="D68" s="88"/>
      <c r="E68" s="88"/>
      <c r="F68" s="88"/>
      <c r="G68" s="58">
        <f t="shared" ref="G68:G94" si="5">F68-E68</f>
        <v>0</v>
      </c>
      <c r="H68" s="54">
        <f t="shared" si="0"/>
        <v>0</v>
      </c>
    </row>
    <row r="69" spans="1:52" s="3" customFormat="1" ht="24.75" customHeight="1">
      <c r="A69" s="17">
        <v>2</v>
      </c>
      <c r="B69" s="17" t="s">
        <v>162</v>
      </c>
      <c r="C69" s="67" t="s">
        <v>73</v>
      </c>
      <c r="D69" s="88"/>
      <c r="E69" s="88"/>
      <c r="F69" s="88"/>
      <c r="G69" s="58">
        <f t="shared" si="5"/>
        <v>0</v>
      </c>
      <c r="H69" s="54">
        <f t="shared" si="0"/>
        <v>0</v>
      </c>
    </row>
    <row r="70" spans="1:52" s="3" customFormat="1" ht="24.75" customHeight="1">
      <c r="A70" s="17">
        <v>3</v>
      </c>
      <c r="B70" s="17" t="s">
        <v>163</v>
      </c>
      <c r="C70" s="68" t="s">
        <v>74</v>
      </c>
      <c r="D70" s="88"/>
      <c r="E70" s="88"/>
      <c r="F70" s="88"/>
      <c r="G70" s="58">
        <f t="shared" si="5"/>
        <v>0</v>
      </c>
      <c r="H70" s="54">
        <f t="shared" si="0"/>
        <v>0</v>
      </c>
    </row>
    <row r="71" spans="1:52" s="3" customFormat="1" ht="24.75" customHeight="1">
      <c r="A71" s="17">
        <v>4</v>
      </c>
      <c r="B71" s="17" t="s">
        <v>164</v>
      </c>
      <c r="C71" s="68" t="s">
        <v>75</v>
      </c>
      <c r="D71" s="88"/>
      <c r="E71" s="88"/>
      <c r="F71" s="88"/>
      <c r="G71" s="58">
        <f t="shared" si="5"/>
        <v>0</v>
      </c>
      <c r="H71" s="54">
        <f t="shared" si="0"/>
        <v>0</v>
      </c>
    </row>
    <row r="72" spans="1:52" s="3" customFormat="1" ht="24.75" customHeight="1">
      <c r="A72" s="17">
        <v>5</v>
      </c>
      <c r="B72" s="17" t="s">
        <v>165</v>
      </c>
      <c r="C72" s="18" t="s">
        <v>68</v>
      </c>
      <c r="D72" s="88"/>
      <c r="E72" s="88"/>
      <c r="F72" s="88"/>
      <c r="G72" s="58">
        <f t="shared" si="5"/>
        <v>0</v>
      </c>
      <c r="H72" s="54">
        <f t="shared" si="0"/>
        <v>0</v>
      </c>
    </row>
    <row r="73" spans="1:52" s="3" customFormat="1" ht="33" customHeight="1">
      <c r="A73" s="70" t="s">
        <v>23</v>
      </c>
      <c r="B73" s="17" t="s">
        <v>166</v>
      </c>
      <c r="C73" s="78" t="s">
        <v>94</v>
      </c>
      <c r="D73" s="88"/>
      <c r="E73" s="88"/>
      <c r="F73" s="88"/>
      <c r="G73" s="58">
        <f t="shared" si="5"/>
        <v>0</v>
      </c>
      <c r="H73" s="54">
        <f t="shared" si="0"/>
        <v>0</v>
      </c>
    </row>
    <row r="74" spans="1:52" s="3" customFormat="1" ht="50.25" customHeight="1">
      <c r="A74" s="17">
        <v>6</v>
      </c>
      <c r="B74" s="17" t="s">
        <v>167</v>
      </c>
      <c r="C74" s="68" t="s">
        <v>78</v>
      </c>
      <c r="D74" s="88"/>
      <c r="E74" s="88"/>
      <c r="F74" s="88"/>
      <c r="G74" s="58">
        <f t="shared" si="5"/>
        <v>0</v>
      </c>
      <c r="H74" s="54">
        <f t="shared" si="0"/>
        <v>0</v>
      </c>
    </row>
    <row r="75" spans="1:52" s="3" customFormat="1" ht="24" customHeight="1">
      <c r="A75" s="70" t="s">
        <v>23</v>
      </c>
      <c r="B75" s="17" t="s">
        <v>168</v>
      </c>
      <c r="C75" s="71" t="s">
        <v>61</v>
      </c>
      <c r="D75" s="88"/>
      <c r="E75" s="88"/>
      <c r="F75" s="88"/>
      <c r="G75" s="58">
        <f t="shared" si="5"/>
        <v>0</v>
      </c>
      <c r="H75" s="54">
        <f t="shared" si="0"/>
        <v>0</v>
      </c>
    </row>
    <row r="76" spans="1:52" s="3" customFormat="1" ht="23.25" customHeight="1">
      <c r="A76" s="17">
        <v>7</v>
      </c>
      <c r="B76" s="17" t="s">
        <v>169</v>
      </c>
      <c r="C76" s="68" t="s">
        <v>76</v>
      </c>
      <c r="D76" s="88"/>
      <c r="E76" s="88"/>
      <c r="F76" s="88"/>
      <c r="G76" s="58">
        <f t="shared" si="5"/>
        <v>0</v>
      </c>
      <c r="H76" s="54">
        <f t="shared" si="0"/>
        <v>0</v>
      </c>
    </row>
    <row r="77" spans="1:52" s="3" customFormat="1" ht="23.25" customHeight="1">
      <c r="A77" s="17">
        <v>8</v>
      </c>
      <c r="B77" s="17" t="s">
        <v>170</v>
      </c>
      <c r="C77" s="68" t="s">
        <v>60</v>
      </c>
      <c r="D77" s="88"/>
      <c r="E77" s="88"/>
      <c r="F77" s="88"/>
      <c r="G77" s="58">
        <f t="shared" si="5"/>
        <v>0</v>
      </c>
      <c r="H77" s="54">
        <f t="shared" si="0"/>
        <v>0</v>
      </c>
    </row>
    <row r="78" spans="1:52" s="3" customFormat="1" ht="20.25" customHeight="1">
      <c r="A78" s="17">
        <v>9</v>
      </c>
      <c r="B78" s="17" t="s">
        <v>171</v>
      </c>
      <c r="C78" s="68" t="s">
        <v>62</v>
      </c>
      <c r="D78" s="88"/>
      <c r="E78" s="88"/>
      <c r="F78" s="88"/>
      <c r="G78" s="58">
        <f t="shared" si="5"/>
        <v>0</v>
      </c>
      <c r="H78" s="54">
        <f t="shared" si="0"/>
        <v>0</v>
      </c>
    </row>
    <row r="79" spans="1:52" s="3" customFormat="1" ht="21.75" customHeight="1">
      <c r="A79" s="17">
        <v>10</v>
      </c>
      <c r="B79" s="17" t="s">
        <v>172</v>
      </c>
      <c r="C79" s="68" t="s">
        <v>6</v>
      </c>
      <c r="D79" s="88"/>
      <c r="E79" s="88"/>
      <c r="F79" s="88"/>
      <c r="G79" s="58">
        <f t="shared" si="5"/>
        <v>0</v>
      </c>
      <c r="H79" s="54">
        <f t="shared" si="0"/>
        <v>0</v>
      </c>
    </row>
    <row r="80" spans="1:52" s="3" customFormat="1" ht="33" customHeight="1">
      <c r="A80" s="17">
        <v>11</v>
      </c>
      <c r="B80" s="17" t="s">
        <v>173</v>
      </c>
      <c r="C80" s="68" t="s">
        <v>93</v>
      </c>
      <c r="D80" s="88"/>
      <c r="E80" s="88"/>
      <c r="F80" s="88"/>
      <c r="G80" s="58">
        <f t="shared" si="5"/>
        <v>0</v>
      </c>
      <c r="H80" s="54">
        <f t="shared" ref="H80:H94" si="6">IF(AND(F80=G80,F80&lt;&gt;0),1,IFERROR(G80/E80,0))</f>
        <v>0</v>
      </c>
    </row>
    <row r="81" spans="1:8" s="3" customFormat="1" ht="31.2">
      <c r="A81" s="17">
        <v>12</v>
      </c>
      <c r="B81" s="17" t="s">
        <v>174</v>
      </c>
      <c r="C81" s="68" t="s">
        <v>66</v>
      </c>
      <c r="D81" s="88"/>
      <c r="E81" s="88"/>
      <c r="F81" s="88"/>
      <c r="G81" s="58">
        <f t="shared" si="5"/>
        <v>0</v>
      </c>
      <c r="H81" s="54">
        <f t="shared" si="6"/>
        <v>0</v>
      </c>
    </row>
    <row r="82" spans="1:8" s="3" customFormat="1" ht="21.75" customHeight="1">
      <c r="A82" s="17">
        <v>13</v>
      </c>
      <c r="B82" s="17" t="s">
        <v>175</v>
      </c>
      <c r="C82" s="68" t="s">
        <v>65</v>
      </c>
      <c r="D82" s="88"/>
      <c r="E82" s="88"/>
      <c r="F82" s="88"/>
      <c r="G82" s="58">
        <f t="shared" si="5"/>
        <v>0</v>
      </c>
      <c r="H82" s="54">
        <f t="shared" si="6"/>
        <v>0</v>
      </c>
    </row>
    <row r="83" spans="1:8" s="3" customFormat="1" ht="21.75" customHeight="1">
      <c r="A83" s="17">
        <v>14</v>
      </c>
      <c r="B83" s="17" t="s">
        <v>176</v>
      </c>
      <c r="C83" s="68" t="s">
        <v>71</v>
      </c>
      <c r="D83" s="88"/>
      <c r="E83" s="88"/>
      <c r="F83" s="88"/>
      <c r="G83" s="58">
        <f t="shared" si="5"/>
        <v>0</v>
      </c>
      <c r="H83" s="54">
        <f t="shared" si="6"/>
        <v>0</v>
      </c>
    </row>
    <row r="84" spans="1:8" s="3" customFormat="1" ht="21.75" customHeight="1">
      <c r="A84" s="17">
        <v>15</v>
      </c>
      <c r="B84" s="17" t="s">
        <v>177</v>
      </c>
      <c r="C84" s="68" t="s">
        <v>70</v>
      </c>
      <c r="D84" s="88"/>
      <c r="E84" s="88"/>
      <c r="F84" s="88"/>
      <c r="G84" s="58">
        <f t="shared" si="5"/>
        <v>0</v>
      </c>
      <c r="H84" s="54">
        <f t="shared" si="6"/>
        <v>0</v>
      </c>
    </row>
    <row r="85" spans="1:8" ht="21.75" customHeight="1">
      <c r="A85" s="17">
        <v>16</v>
      </c>
      <c r="B85" s="17" t="s">
        <v>178</v>
      </c>
      <c r="C85" s="18" t="s">
        <v>69</v>
      </c>
      <c r="D85" s="88"/>
      <c r="E85" s="88"/>
      <c r="F85" s="88"/>
      <c r="G85" s="58">
        <f t="shared" si="5"/>
        <v>0</v>
      </c>
      <c r="H85" s="55">
        <f t="shared" si="6"/>
        <v>0</v>
      </c>
    </row>
    <row r="86" spans="1:8" ht="23.25" customHeight="1">
      <c r="A86" s="70" t="s">
        <v>23</v>
      </c>
      <c r="B86" s="17" t="s">
        <v>179</v>
      </c>
      <c r="C86" s="79" t="s">
        <v>95</v>
      </c>
      <c r="D86" s="88"/>
      <c r="E86" s="88"/>
      <c r="F86" s="88"/>
      <c r="G86" s="58">
        <f t="shared" si="5"/>
        <v>0</v>
      </c>
      <c r="H86" s="55">
        <f t="shared" si="6"/>
        <v>0</v>
      </c>
    </row>
    <row r="87" spans="1:8" ht="21" customHeight="1">
      <c r="A87" s="17"/>
      <c r="B87" s="17" t="s">
        <v>180</v>
      </c>
      <c r="C87" s="73" t="s">
        <v>103</v>
      </c>
      <c r="D87" s="88"/>
      <c r="E87" s="88"/>
      <c r="F87" s="88"/>
      <c r="G87" s="58">
        <f t="shared" si="5"/>
        <v>0</v>
      </c>
      <c r="H87" s="55">
        <f t="shared" si="6"/>
        <v>0</v>
      </c>
    </row>
    <row r="88" spans="1:8" ht="21.75" customHeight="1">
      <c r="A88" s="17"/>
      <c r="B88" s="17" t="s">
        <v>181</v>
      </c>
      <c r="C88" s="73" t="s">
        <v>98</v>
      </c>
      <c r="D88" s="88"/>
      <c r="E88" s="88"/>
      <c r="F88" s="88"/>
      <c r="G88" s="58">
        <f t="shared" si="5"/>
        <v>0</v>
      </c>
      <c r="H88" s="55">
        <f t="shared" si="6"/>
        <v>0</v>
      </c>
    </row>
    <row r="89" spans="1:8" ht="36" customHeight="1">
      <c r="A89" s="17">
        <v>17</v>
      </c>
      <c r="B89" s="17" t="s">
        <v>184</v>
      </c>
      <c r="C89" s="69" t="s">
        <v>90</v>
      </c>
      <c r="D89" s="88"/>
      <c r="E89" s="88"/>
      <c r="F89" s="88"/>
      <c r="G89" s="58">
        <f t="shared" si="5"/>
        <v>0</v>
      </c>
      <c r="H89" s="55">
        <f t="shared" si="6"/>
        <v>0</v>
      </c>
    </row>
    <row r="90" spans="1:8" ht="33" customHeight="1">
      <c r="A90" s="17">
        <v>18</v>
      </c>
      <c r="B90" s="17" t="s">
        <v>185</v>
      </c>
      <c r="C90" s="69" t="s">
        <v>91</v>
      </c>
      <c r="D90" s="88"/>
      <c r="E90" s="88"/>
      <c r="F90" s="88"/>
      <c r="G90" s="58">
        <f t="shared" si="5"/>
        <v>0</v>
      </c>
      <c r="H90" s="55">
        <f t="shared" si="6"/>
        <v>0</v>
      </c>
    </row>
    <row r="91" spans="1:8" ht="37.5" customHeight="1">
      <c r="A91" s="17">
        <v>19</v>
      </c>
      <c r="B91" s="17" t="s">
        <v>186</v>
      </c>
      <c r="C91" s="69" t="s">
        <v>92</v>
      </c>
      <c r="D91" s="88"/>
      <c r="E91" s="88"/>
      <c r="F91" s="88"/>
      <c r="G91" s="58">
        <f t="shared" si="5"/>
        <v>0</v>
      </c>
      <c r="H91" s="55">
        <f t="shared" si="6"/>
        <v>0</v>
      </c>
    </row>
    <row r="92" spans="1:8" ht="34.5" customHeight="1">
      <c r="A92" s="17">
        <v>20</v>
      </c>
      <c r="B92" s="17" t="s">
        <v>187</v>
      </c>
      <c r="C92" s="72" t="s">
        <v>77</v>
      </c>
      <c r="D92" s="88"/>
      <c r="E92" s="88"/>
      <c r="F92" s="88"/>
      <c r="G92" s="58">
        <f t="shared" si="5"/>
        <v>0</v>
      </c>
      <c r="H92" s="55">
        <f t="shared" si="6"/>
        <v>0</v>
      </c>
    </row>
    <row r="93" spans="1:8" ht="23.25" customHeight="1">
      <c r="A93" s="17">
        <v>21</v>
      </c>
      <c r="B93" s="17" t="s">
        <v>188</v>
      </c>
      <c r="C93" s="18" t="s">
        <v>48</v>
      </c>
      <c r="D93" s="88"/>
      <c r="E93" s="88"/>
      <c r="F93" s="88"/>
      <c r="G93" s="58">
        <f t="shared" si="5"/>
        <v>0</v>
      </c>
      <c r="H93" s="55">
        <f t="shared" si="6"/>
        <v>0</v>
      </c>
    </row>
    <row r="94" spans="1:8" s="3" customFormat="1" ht="23.25" customHeight="1">
      <c r="A94" s="13" t="s">
        <v>7</v>
      </c>
      <c r="B94" s="26" t="s">
        <v>182</v>
      </c>
      <c r="C94" s="14" t="s">
        <v>15</v>
      </c>
      <c r="D94" s="94"/>
      <c r="E94" s="88"/>
      <c r="F94" s="88"/>
      <c r="G94" s="58">
        <f t="shared" si="5"/>
        <v>0</v>
      </c>
      <c r="H94" s="54">
        <f t="shared" si="6"/>
        <v>0</v>
      </c>
    </row>
    <row r="95" spans="1:8" s="3" customFormat="1" ht="23.25" customHeight="1">
      <c r="A95" s="13" t="s">
        <v>16</v>
      </c>
      <c r="B95" s="26" t="s">
        <v>183</v>
      </c>
      <c r="C95" s="14" t="s">
        <v>53</v>
      </c>
      <c r="D95" s="94"/>
      <c r="E95" s="88"/>
      <c r="F95" s="88"/>
      <c r="G95" s="41">
        <f t="shared" ref="G95:G115" si="7">F95-E95</f>
        <v>0</v>
      </c>
      <c r="H95" s="54">
        <f t="shared" ref="H95:H115" si="8">IF(AND(F95=G95,F95&lt;&gt;0),1,IFERROR(G95/E95,0))</f>
        <v>0</v>
      </c>
    </row>
    <row r="96" spans="1:8" s="3" customFormat="1" ht="23.25" customHeight="1">
      <c r="A96" s="80">
        <v>1</v>
      </c>
      <c r="B96" s="17" t="s">
        <v>189</v>
      </c>
      <c r="C96" s="100" t="s">
        <v>209</v>
      </c>
      <c r="D96" s="88"/>
      <c r="E96" s="88"/>
      <c r="F96" s="88"/>
      <c r="G96" s="41">
        <f t="shared" si="7"/>
        <v>0</v>
      </c>
      <c r="H96" s="54">
        <f t="shared" si="8"/>
        <v>0</v>
      </c>
    </row>
    <row r="97" spans="1:8" s="3" customFormat="1" ht="23.25" customHeight="1">
      <c r="A97" s="81" t="s">
        <v>27</v>
      </c>
      <c r="B97" s="17" t="s">
        <v>190</v>
      </c>
      <c r="C97" s="73" t="s">
        <v>33</v>
      </c>
      <c r="D97" s="93"/>
      <c r="E97" s="93"/>
      <c r="F97" s="93"/>
      <c r="G97" s="43">
        <f t="shared" si="7"/>
        <v>0</v>
      </c>
      <c r="H97" s="54">
        <f t="shared" si="8"/>
        <v>0</v>
      </c>
    </row>
    <row r="98" spans="1:8" s="3" customFormat="1" ht="23.25" customHeight="1">
      <c r="A98" s="81" t="s">
        <v>27</v>
      </c>
      <c r="B98" s="17" t="s">
        <v>191</v>
      </c>
      <c r="C98" s="73" t="s">
        <v>49</v>
      </c>
      <c r="D98" s="88"/>
      <c r="E98" s="93"/>
      <c r="F98" s="93"/>
      <c r="G98" s="43">
        <f t="shared" si="7"/>
        <v>0</v>
      </c>
      <c r="H98" s="54">
        <f t="shared" si="8"/>
        <v>0</v>
      </c>
    </row>
    <row r="99" spans="1:8" s="3" customFormat="1" ht="23.25" customHeight="1">
      <c r="A99" s="17">
        <v>2</v>
      </c>
      <c r="B99" s="17" t="s">
        <v>192</v>
      </c>
      <c r="C99" s="101" t="s">
        <v>210</v>
      </c>
      <c r="D99" s="88"/>
      <c r="E99" s="88"/>
      <c r="F99" s="88"/>
      <c r="G99" s="41">
        <f t="shared" si="7"/>
        <v>0</v>
      </c>
      <c r="H99" s="54">
        <f t="shared" si="8"/>
        <v>0</v>
      </c>
    </row>
    <row r="100" spans="1:8" s="3" customFormat="1" ht="23.25" customHeight="1">
      <c r="A100" s="81" t="s">
        <v>27</v>
      </c>
      <c r="B100" s="17" t="s">
        <v>193</v>
      </c>
      <c r="C100" s="73" t="s">
        <v>32</v>
      </c>
      <c r="D100" s="93"/>
      <c r="E100" s="88"/>
      <c r="F100" s="88"/>
      <c r="G100" s="41">
        <f t="shared" si="7"/>
        <v>0</v>
      </c>
      <c r="H100" s="54">
        <f t="shared" si="8"/>
        <v>0</v>
      </c>
    </row>
    <row r="101" spans="1:8" s="3" customFormat="1" ht="24" customHeight="1">
      <c r="A101" s="81" t="s">
        <v>27</v>
      </c>
      <c r="B101" s="17" t="s">
        <v>194</v>
      </c>
      <c r="C101" s="71" t="s">
        <v>50</v>
      </c>
      <c r="D101" s="88"/>
      <c r="E101" s="88"/>
      <c r="F101" s="88"/>
      <c r="G101" s="41">
        <f t="shared" si="7"/>
        <v>0</v>
      </c>
      <c r="H101" s="54">
        <f t="shared" si="8"/>
        <v>0</v>
      </c>
    </row>
    <row r="102" spans="1:8" s="3" customFormat="1" ht="23.25" customHeight="1">
      <c r="A102" s="82">
        <v>3</v>
      </c>
      <c r="B102" s="17" t="s">
        <v>195</v>
      </c>
      <c r="C102" s="99" t="s">
        <v>211</v>
      </c>
      <c r="D102" s="88"/>
      <c r="E102" s="88"/>
      <c r="F102" s="88"/>
      <c r="G102" s="41">
        <f t="shared" si="7"/>
        <v>0</v>
      </c>
      <c r="H102" s="54">
        <f t="shared" si="8"/>
        <v>0</v>
      </c>
    </row>
    <row r="103" spans="1:8" s="3" customFormat="1" ht="23.25" customHeight="1">
      <c r="A103" s="17">
        <v>4</v>
      </c>
      <c r="B103" s="17" t="s">
        <v>196</v>
      </c>
      <c r="C103" s="18" t="s">
        <v>31</v>
      </c>
      <c r="D103" s="88"/>
      <c r="E103" s="88"/>
      <c r="F103" s="88"/>
      <c r="G103" s="41">
        <f t="shared" si="7"/>
        <v>0</v>
      </c>
      <c r="H103" s="54">
        <f t="shared" si="8"/>
        <v>0</v>
      </c>
    </row>
    <row r="104" spans="1:8" s="3" customFormat="1" ht="23.25" customHeight="1">
      <c r="A104" s="81" t="s">
        <v>27</v>
      </c>
      <c r="B104" s="17" t="s">
        <v>197</v>
      </c>
      <c r="C104" s="73" t="s">
        <v>30</v>
      </c>
      <c r="D104" s="93"/>
      <c r="E104" s="93"/>
      <c r="F104" s="93"/>
      <c r="G104" s="43">
        <f t="shared" si="7"/>
        <v>0</v>
      </c>
      <c r="H104" s="54">
        <f t="shared" si="8"/>
        <v>0</v>
      </c>
    </row>
    <row r="105" spans="1:8" s="3" customFormat="1" ht="33" customHeight="1">
      <c r="A105" s="81" t="s">
        <v>27</v>
      </c>
      <c r="B105" s="17" t="s">
        <v>201</v>
      </c>
      <c r="C105" s="71" t="s">
        <v>51</v>
      </c>
      <c r="D105" s="88"/>
      <c r="E105" s="93"/>
      <c r="F105" s="93"/>
      <c r="G105" s="43">
        <f t="shared" si="7"/>
        <v>0</v>
      </c>
      <c r="H105" s="54">
        <f t="shared" si="8"/>
        <v>0</v>
      </c>
    </row>
    <row r="106" spans="1:8" s="3" customFormat="1" ht="23.25" customHeight="1">
      <c r="A106" s="81">
        <v>5</v>
      </c>
      <c r="B106" s="17" t="s">
        <v>202</v>
      </c>
      <c r="C106" s="68" t="s">
        <v>29</v>
      </c>
      <c r="D106" s="88"/>
      <c r="E106" s="88"/>
      <c r="F106" s="88"/>
      <c r="G106" s="41">
        <f t="shared" si="7"/>
        <v>0</v>
      </c>
      <c r="H106" s="54">
        <f t="shared" si="8"/>
        <v>0</v>
      </c>
    </row>
    <row r="107" spans="1:8" s="3" customFormat="1" ht="23.25" customHeight="1">
      <c r="A107" s="17">
        <v>6</v>
      </c>
      <c r="B107" s="17" t="s">
        <v>203</v>
      </c>
      <c r="C107" s="18" t="s">
        <v>28</v>
      </c>
      <c r="D107" s="88"/>
      <c r="E107" s="93"/>
      <c r="F107" s="93"/>
      <c r="G107" s="43">
        <f t="shared" si="7"/>
        <v>0</v>
      </c>
      <c r="H107" s="54">
        <f t="shared" si="8"/>
        <v>0</v>
      </c>
    </row>
    <row r="108" spans="1:8" s="3" customFormat="1" ht="19.5" customHeight="1">
      <c r="A108" s="81" t="s">
        <v>27</v>
      </c>
      <c r="B108" s="17" t="s">
        <v>204</v>
      </c>
      <c r="C108" s="73" t="s">
        <v>34</v>
      </c>
      <c r="D108" s="93"/>
      <c r="E108" s="88"/>
      <c r="F108" s="88"/>
      <c r="G108" s="41">
        <f t="shared" si="7"/>
        <v>0</v>
      </c>
      <c r="H108" s="54">
        <f t="shared" si="8"/>
        <v>0</v>
      </c>
    </row>
    <row r="109" spans="1:8" s="3" customFormat="1" ht="23.25" customHeight="1">
      <c r="A109" s="17">
        <v>7</v>
      </c>
      <c r="B109" s="17" t="s">
        <v>205</v>
      </c>
      <c r="C109" s="18" t="s">
        <v>36</v>
      </c>
      <c r="D109" s="88"/>
      <c r="E109" s="93"/>
      <c r="F109" s="93"/>
      <c r="G109" s="43">
        <f t="shared" si="7"/>
        <v>0</v>
      </c>
      <c r="H109" s="54">
        <f t="shared" si="8"/>
        <v>0</v>
      </c>
    </row>
    <row r="110" spans="1:8" s="3" customFormat="1" ht="27" customHeight="1">
      <c r="A110" s="81"/>
      <c r="B110" s="17" t="s">
        <v>206</v>
      </c>
      <c r="C110" s="73" t="s">
        <v>35</v>
      </c>
      <c r="D110" s="93"/>
      <c r="E110" s="88"/>
      <c r="F110" s="88"/>
      <c r="G110" s="41">
        <f t="shared" si="7"/>
        <v>0</v>
      </c>
      <c r="H110" s="54">
        <f t="shared" si="8"/>
        <v>0</v>
      </c>
    </row>
    <row r="111" spans="1:8" s="3" customFormat="1" ht="30" customHeight="1">
      <c r="A111" s="81"/>
      <c r="B111" s="17" t="s">
        <v>207</v>
      </c>
      <c r="C111" s="18" t="s">
        <v>44</v>
      </c>
      <c r="D111" s="88"/>
      <c r="E111" s="88"/>
      <c r="F111" s="88"/>
      <c r="G111" s="41">
        <f t="shared" si="7"/>
        <v>0</v>
      </c>
      <c r="H111" s="54">
        <f t="shared" si="8"/>
        <v>0</v>
      </c>
    </row>
    <row r="112" spans="1:8" ht="25.5" customHeight="1">
      <c r="A112" s="17">
        <v>8</v>
      </c>
      <c r="B112" s="17" t="s">
        <v>208</v>
      </c>
      <c r="C112" s="68" t="s">
        <v>80</v>
      </c>
      <c r="D112" s="88"/>
      <c r="E112" s="88"/>
      <c r="F112" s="88"/>
      <c r="G112" s="41">
        <f t="shared" si="7"/>
        <v>0</v>
      </c>
      <c r="H112" s="54">
        <f t="shared" si="8"/>
        <v>0</v>
      </c>
    </row>
    <row r="113" spans="1:8">
      <c r="A113" s="17">
        <v>9</v>
      </c>
      <c r="B113" s="17" t="s">
        <v>108</v>
      </c>
      <c r="C113" s="68" t="s">
        <v>40</v>
      </c>
      <c r="D113" s="95"/>
      <c r="E113" s="88"/>
      <c r="F113" s="88"/>
      <c r="G113" s="41">
        <f t="shared" si="7"/>
        <v>0</v>
      </c>
      <c r="H113" s="54">
        <f t="shared" si="8"/>
        <v>0</v>
      </c>
    </row>
    <row r="114" spans="1:8" ht="23.25" customHeight="1">
      <c r="A114" s="17">
        <v>10</v>
      </c>
      <c r="B114" s="26" t="s">
        <v>198</v>
      </c>
      <c r="C114" s="18" t="s">
        <v>52</v>
      </c>
      <c r="D114" s="95"/>
      <c r="E114" s="88"/>
      <c r="F114" s="88"/>
      <c r="G114" s="41">
        <f t="shared" si="7"/>
        <v>0</v>
      </c>
      <c r="H114" s="54">
        <f t="shared" si="8"/>
        <v>0</v>
      </c>
    </row>
    <row r="115" spans="1:8" ht="23.25" customHeight="1">
      <c r="A115" s="83" t="s">
        <v>18</v>
      </c>
      <c r="B115" s="26" t="s">
        <v>199</v>
      </c>
      <c r="C115" s="84" t="s">
        <v>64</v>
      </c>
      <c r="D115" s="96"/>
      <c r="E115" s="97"/>
      <c r="F115" s="97"/>
      <c r="G115" s="59">
        <f t="shared" si="7"/>
        <v>0</v>
      </c>
      <c r="H115" s="60">
        <f t="shared" si="8"/>
        <v>0</v>
      </c>
    </row>
    <row r="116" spans="1:8" ht="12" customHeight="1">
      <c r="A116" s="12"/>
      <c r="B116" s="12"/>
      <c r="C116" s="9"/>
      <c r="D116" s="9"/>
      <c r="H116" s="3"/>
    </row>
    <row r="117" spans="1:8" ht="12" customHeight="1">
      <c r="A117" s="12"/>
      <c r="B117" s="12"/>
      <c r="C117" s="1" t="s">
        <v>54</v>
      </c>
      <c r="H117" s="3"/>
    </row>
    <row r="118" spans="1:8">
      <c r="A118" s="10"/>
      <c r="B118" s="10"/>
      <c r="C118" s="10"/>
      <c r="D118" s="10"/>
      <c r="E118" s="105" t="s">
        <v>86</v>
      </c>
      <c r="F118" s="105"/>
      <c r="G118" s="105"/>
      <c r="H118" s="105"/>
    </row>
    <row r="119" spans="1:8" ht="19.5" customHeight="1">
      <c r="A119" s="6"/>
      <c r="B119" s="6"/>
      <c r="C119" s="6" t="s">
        <v>37</v>
      </c>
      <c r="D119" s="6"/>
      <c r="E119" s="121" t="s">
        <v>41</v>
      </c>
      <c r="F119" s="121"/>
      <c r="G119" s="121"/>
      <c r="H119" s="121"/>
    </row>
    <row r="120" spans="1:8">
      <c r="A120" s="9"/>
      <c r="B120" s="9"/>
      <c r="C120" s="9" t="s">
        <v>38</v>
      </c>
      <c r="D120" s="9"/>
      <c r="E120" s="105" t="s">
        <v>8</v>
      </c>
      <c r="F120" s="105"/>
      <c r="G120" s="105"/>
      <c r="H120" s="105"/>
    </row>
    <row r="121" spans="1:8" ht="18" customHeight="1">
      <c r="A121" s="2"/>
      <c r="B121" s="2"/>
      <c r="C121" s="2"/>
      <c r="D121" s="2"/>
      <c r="E121" s="2"/>
      <c r="F121" s="2"/>
      <c r="G121" s="2"/>
    </row>
    <row r="122" spans="1:8" ht="321.75" customHeight="1">
      <c r="C122" s="122" t="s">
        <v>107</v>
      </c>
      <c r="D122" s="122"/>
      <c r="E122" s="122"/>
      <c r="F122" s="122"/>
      <c r="G122" s="122"/>
      <c r="H122" s="122"/>
    </row>
    <row r="123" spans="1:8">
      <c r="C123" s="119"/>
      <c r="D123" s="120"/>
      <c r="E123" s="120"/>
      <c r="F123" s="120"/>
      <c r="G123" s="120"/>
      <c r="H123" s="120"/>
    </row>
    <row r="124" spans="1:8" ht="32.25" customHeight="1">
      <c r="C124" s="119"/>
      <c r="D124" s="120"/>
      <c r="E124" s="120"/>
      <c r="F124" s="120"/>
      <c r="G124" s="120"/>
      <c r="H124" s="120"/>
    </row>
    <row r="125" spans="1:8" ht="18.75" customHeight="1">
      <c r="C125" s="119"/>
      <c r="D125" s="120"/>
      <c r="E125" s="120"/>
      <c r="F125" s="120"/>
      <c r="G125" s="120"/>
      <c r="H125" s="120"/>
    </row>
    <row r="127" spans="1:8">
      <c r="C127" s="119"/>
      <c r="D127" s="120"/>
      <c r="E127" s="120"/>
      <c r="F127" s="120"/>
      <c r="G127" s="120"/>
      <c r="H127" s="120"/>
    </row>
    <row r="134" spans="3:3">
      <c r="C134" s="6"/>
    </row>
  </sheetData>
  <mergeCells count="24">
    <mergeCell ref="C125:H125"/>
    <mergeCell ref="C127:H127"/>
    <mergeCell ref="E118:H118"/>
    <mergeCell ref="E119:H119"/>
    <mergeCell ref="E120:H120"/>
    <mergeCell ref="C122:H122"/>
    <mergeCell ref="C123:H123"/>
    <mergeCell ref="C124:H124"/>
    <mergeCell ref="A19:A20"/>
    <mergeCell ref="E2:H2"/>
    <mergeCell ref="D3:H3"/>
    <mergeCell ref="E4:H4"/>
    <mergeCell ref="A5:H5"/>
    <mergeCell ref="F6:H6"/>
    <mergeCell ref="A7:A10"/>
    <mergeCell ref="C7:C10"/>
    <mergeCell ref="D7:D10"/>
    <mergeCell ref="E7:E10"/>
    <mergeCell ref="F7:H7"/>
    <mergeCell ref="B7:B10"/>
    <mergeCell ref="F8:F10"/>
    <mergeCell ref="G8:H8"/>
    <mergeCell ref="G9:G10"/>
    <mergeCell ref="H9:H10"/>
  </mergeCells>
  <printOptions horizontalCentered="1"/>
  <pageMargins left="3.937007874015748E-2" right="3.937007874015748E-2" top="0.38" bottom="0.38" header="3.937007874015748E-2" footer="0.3"/>
  <pageSetup paperSize="9" scale="66" fitToHeight="0"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BIEU 02 -2023</vt:lpstr>
      <vt:lpstr>'BIEU 02 -2023'!Print_Area</vt:lpstr>
      <vt:lpstr>'BIEU 02 -2023'!Print_Titles</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2022-06-29T02:16:44Z</cp:lastPrinted>
  <dcterms:created xsi:type="dcterms:W3CDTF">2010-06-29T03:51:48Z</dcterms:created>
  <dcterms:modified xsi:type="dcterms:W3CDTF">2023-07-05T03:36:44Z</dcterms:modified>
</cp:coreProperties>
</file>
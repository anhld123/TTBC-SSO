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Cap nhat CN\IMS_REPORT KHNV - New\EXCEL_TEMPLATE\KHNV\"/>
    </mc:Choice>
  </mc:AlternateContent>
  <bookViews>
    <workbookView xWindow="6216" yWindow="-120" windowWidth="20736" windowHeight="11280"/>
  </bookViews>
  <sheets>
    <sheet name="DK_01A" sheetId="1" r:id="rId1"/>
  </sheets>
  <definedNames>
    <definedName name="_xlnm.Print_Area" localSheetId="0">DK_01A!$A$1:$G$152</definedName>
    <definedName name="_xlnm.Print_Titles" localSheetId="0">DK_01A!$8:$12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1" i="1" l="1"/>
  <c r="D51" i="1"/>
  <c r="F14" i="1" l="1"/>
  <c r="D14" i="1"/>
  <c r="F42" i="1" l="1"/>
  <c r="D42" i="1"/>
  <c r="G50" i="1" l="1"/>
  <c r="G49" i="1"/>
  <c r="E50" i="1"/>
  <c r="E49" i="1"/>
  <c r="D13" i="1" l="1"/>
  <c r="F13" i="1"/>
  <c r="G40" i="1" l="1"/>
  <c r="G41" i="1"/>
  <c r="G42" i="1"/>
  <c r="G43" i="1"/>
  <c r="G44" i="1"/>
  <c r="G45" i="1"/>
  <c r="G46" i="1"/>
  <c r="G47" i="1"/>
  <c r="G48"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E40" i="1"/>
  <c r="E41" i="1"/>
  <c r="E42" i="1"/>
  <c r="E43" i="1"/>
  <c r="E44" i="1"/>
  <c r="E45" i="1"/>
  <c r="E46" i="1"/>
  <c r="E47" i="1"/>
  <c r="E48"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6" i="1"/>
  <c r="G14" i="1"/>
  <c r="G15" i="1"/>
  <c r="G17" i="1"/>
  <c r="G18" i="1"/>
  <c r="G19" i="1"/>
  <c r="G20" i="1"/>
  <c r="G21" i="1"/>
  <c r="G22" i="1"/>
  <c r="G23" i="1"/>
  <c r="G24" i="1"/>
  <c r="G25" i="1"/>
  <c r="G26" i="1"/>
  <c r="G27" i="1"/>
  <c r="G28" i="1"/>
  <c r="G29" i="1"/>
  <c r="G30" i="1"/>
  <c r="G31" i="1"/>
  <c r="G32" i="1"/>
  <c r="G33" i="1"/>
  <c r="G34" i="1"/>
  <c r="G35" i="1"/>
  <c r="G36" i="1"/>
  <c r="G37" i="1"/>
  <c r="G38" i="1"/>
  <c r="G39" i="1"/>
  <c r="G13" i="1"/>
  <c r="E14" i="1"/>
  <c r="E15" i="1"/>
  <c r="E17" i="1"/>
  <c r="E18" i="1"/>
  <c r="E19" i="1"/>
  <c r="E20" i="1"/>
  <c r="E21" i="1"/>
  <c r="E22" i="1"/>
  <c r="E23" i="1"/>
  <c r="E24" i="1"/>
  <c r="E25" i="1"/>
  <c r="E26" i="1"/>
  <c r="E27" i="1"/>
  <c r="E28" i="1"/>
  <c r="E29" i="1"/>
  <c r="E30" i="1"/>
  <c r="E31" i="1"/>
  <c r="E32" i="1"/>
  <c r="E33" i="1"/>
  <c r="E34" i="1"/>
  <c r="E35" i="1"/>
  <c r="E36" i="1"/>
  <c r="E37" i="1"/>
  <c r="E38" i="1"/>
  <c r="E39" i="1"/>
  <c r="E13" i="1"/>
  <c r="G16" i="1" l="1"/>
</calcChain>
</file>

<file path=xl/sharedStrings.xml><?xml version="1.0" encoding="utf-8"?>
<sst xmlns="http://schemas.openxmlformats.org/spreadsheetml/2006/main" count="196" uniqueCount="173">
  <si>
    <t>Biểu số 01a/NHCS-KH</t>
  </si>
  <si>
    <t>(Lưu tại PGD)</t>
  </si>
  <si>
    <t>CỘNG HOÀ XÃ HỘI CHỦ NGHĨA VIỆT NAM</t>
  </si>
  <si>
    <r>
      <t>Độc l</t>
    </r>
    <r>
      <rPr>
        <b/>
        <u/>
        <sz val="12"/>
        <rFont val="Times New Roman"/>
        <family val="1"/>
      </rPr>
      <t xml:space="preserve">ập - Tự do - Hạnh </t>
    </r>
    <r>
      <rPr>
        <b/>
        <sz val="12"/>
        <rFont val="Times New Roman"/>
        <family val="1"/>
      </rPr>
      <t>phúc</t>
    </r>
  </si>
  <si>
    <t>Đơn vị: triệu đồng, %, hộ, người</t>
  </si>
  <si>
    <t>STT</t>
  </si>
  <si>
    <t>CHỈ TIÊU</t>
  </si>
  <si>
    <t>Tổng số</t>
  </si>
  <si>
    <t>Số tuyệt đối (+/-)</t>
  </si>
  <si>
    <t>Số tương đối (%)</t>
  </si>
  <si>
    <t>4=3+5</t>
  </si>
  <si>
    <t xml:space="preserve">          </t>
  </si>
  <si>
    <t>…, ngày ….. tháng ….. năm ……..</t>
  </si>
  <si>
    <t>CÁN BỘ TÍN DỤNG THEO DÕI ĐỊA BÀN</t>
  </si>
  <si>
    <t xml:space="preserve">  (Ký, ghi rõ họ và tên)               </t>
  </si>
  <si>
    <t>Mô tả cách lấy dữ liệu Biểu số 01a/NHCS-KH: Mẫu biểu bán tự động: cột 3, cột 5, còn lại lấy tự động.</t>
  </si>
  <si>
    <t>Cột 2 - Liệt kê các chỉ tiêu theo nguồn vốn, sử dụng vốn theo chi tiết bảng đính kèm, trường hợp bổ sung các nguồn vốn hoặc các chương trình cho vay mới sẽ được cập nhật bổ sung.</t>
  </si>
  <si>
    <t>Cột 3 - Ước dư nợ:  Số liệu được người dùng nhập thủ công. Hệ thống hỗ trợ lấy số ước thực hiện của năm đến thời điểm gần nhất khi người dùng tạo dữ liệu, dữ liệu cho phép chỉnh sửa tăng hoặc giảm</t>
  </si>
  <si>
    <t>Cột 4 - Tổng số = cột 3 + cột 5</t>
  </si>
  <si>
    <t>Cột 5: Số tuyệt đối (+/-): Nhập tay thủ công. Hệ thống hỗ trợ người dùng có thể tính toán bằng một tỷ lệ % nhất định so với cột 4 do người dùng lựa chọn nhập vào và sau đó cho phép chỉnh sửa</t>
  </si>
  <si>
    <t xml:space="preserve">Cột 6: Số tương đối = (cột 5 /cột 3) x 100% </t>
  </si>
  <si>
    <t>Số liệu trên biểu số 01a/NHCS-KH sẽ làm cơ sở để tổng hợp lên biểu số 01/NHCS-KH và 02/NHCS-KH</t>
  </si>
  <si>
    <t>MÃ CHỈ TIÊU</t>
  </si>
  <si>
    <t>NHU CẦU VAY VỐN TÍN DỤNG CHÍNH SÁCH NĂM 2021</t>
  </si>
  <si>
    <t>Ước dư nợ đến 31/12/2020</t>
  </si>
  <si>
    <t>Nhu cầu vốn năm 2021</t>
  </si>
  <si>
    <t>Tăng, giảm so với 31/12/2020</t>
  </si>
  <si>
    <t>1</t>
  </si>
  <si>
    <t>XD00001</t>
  </si>
  <si>
    <t>TỔNG CỘNG (A+B)</t>
  </si>
  <si>
    <t>2</t>
  </si>
  <si>
    <t>XD00002</t>
  </si>
  <si>
    <t>NHU CẦU VAY NGUỒN VỐN TRUNG ƯƠNG</t>
  </si>
  <si>
    <t>3</t>
  </si>
  <si>
    <t>XD00003</t>
  </si>
  <si>
    <t>Cho vay hộ nghèo theo Nghị định số 78/2002/NĐ-CP</t>
  </si>
  <si>
    <t>4</t>
  </si>
  <si>
    <t>XD00004</t>
  </si>
  <si>
    <t>Cho vay hộ cận nghèo theo QĐ 15/2013/QĐ-TTg</t>
  </si>
  <si>
    <t>5</t>
  </si>
  <si>
    <t>XD00005</t>
  </si>
  <si>
    <t>Cho vay hộ mới thoát nghèo theo Quyết định số 28/2015/QĐ-TTg</t>
  </si>
  <si>
    <t>6</t>
  </si>
  <si>
    <t>XD00006</t>
  </si>
  <si>
    <t>Cho vay học sinh, sinh viên theo QĐ 157/2007/QĐ-TTg</t>
  </si>
  <si>
    <t>7</t>
  </si>
  <si>
    <t>XD00007</t>
  </si>
  <si>
    <t>Cho vay vốn Quỹ quốc gia về việc làm theo Nghị định 61/2015/NĐ-CP</t>
  </si>
  <si>
    <t>8</t>
  </si>
  <si>
    <t>XD00008</t>
  </si>
  <si>
    <t>Cho vay người lao động đi làm việc ở nước ngoài theo Quyết định số 365/QĐ-NHNN,  Quyết định số 1465/QĐ-TTg, Quyết định số 63/2015/QĐ-TTg và Nghị định số 61/2015/NĐ-CP</t>
  </si>
  <si>
    <t>9</t>
  </si>
  <si>
    <t>XD00009</t>
  </si>
  <si>
    <t>10</t>
  </si>
  <si>
    <t>XD00010</t>
  </si>
  <si>
    <t>Cho vay xuất khẩu lao động tại huyện nghèo theo QĐ 71/2009/QĐ-TTg</t>
  </si>
  <si>
    <t>11</t>
  </si>
  <si>
    <t>XD00011</t>
  </si>
  <si>
    <t>Cho vay Chương trình NS-VSMT NT theo QĐ 62/2004/QĐ-TTg</t>
  </si>
  <si>
    <t>12</t>
  </si>
  <si>
    <t>XD00012</t>
  </si>
  <si>
    <t>Cho vay hộ gia đình SXKD tại VKK theo QĐ 31/2007/QĐ-TTg</t>
  </si>
  <si>
    <t>13</t>
  </si>
  <si>
    <t>XD00013</t>
  </si>
  <si>
    <t>Cho vay mua trả chậm nhà ở vùng ĐBSCL và Tây Nguyên</t>
  </si>
  <si>
    <t>14</t>
  </si>
  <si>
    <t>XD00014</t>
  </si>
  <si>
    <t>Cho vay xây dựng cụm tuyến dân cư và nhà ở vùng ngập lũ ĐBSCL giai đoạn 2018-2020 (QĐ 714/QĐ-TTg)</t>
  </si>
  <si>
    <t>15</t>
  </si>
  <si>
    <t>XD00015</t>
  </si>
  <si>
    <t>Cho vay hộ đồng bào DTTS ĐBKK theo QĐ 54/2012/QĐ-TTg (QĐ 32/2007/QĐ-TTg)</t>
  </si>
  <si>
    <t>16</t>
  </si>
  <si>
    <t>XD00016</t>
  </si>
  <si>
    <t>Cho vay đồng bào DTTS vùng ĐBSCL theo (QĐ 29/2013/QĐ-TTg) (QĐ 74/2008/QĐ-TTg)</t>
  </si>
  <si>
    <t>17</t>
  </si>
  <si>
    <t>XD00017</t>
  </si>
  <si>
    <t>Cho vay đồng bào DTTS theo QĐ 755/QĐ-TTg</t>
  </si>
  <si>
    <t>18</t>
  </si>
  <si>
    <t>XD00018</t>
  </si>
  <si>
    <t>Cho vay hỗ trợ hộ nghèo về nhà ở theo QĐ 167/2008/QĐ-TTg</t>
  </si>
  <si>
    <t>19</t>
  </si>
  <si>
    <t>XD00019</t>
  </si>
  <si>
    <t xml:space="preserve">Cho vay hỗ trợ hộ nghèo về nhà ở theo QĐ 33/2015/QĐ-TTg </t>
  </si>
  <si>
    <t>20</t>
  </si>
  <si>
    <t>XD00020</t>
  </si>
  <si>
    <t>Cho vay thương nhân tại VKK theo QĐ 92/2009/QĐ-TTg</t>
  </si>
  <si>
    <t>21</t>
  </si>
  <si>
    <t>XD00021</t>
  </si>
  <si>
    <t xml:space="preserve">Cho vay hỗ trợ hộ nghèo xây dựng nhà ở phòng, tránh bão, lụt khu vực miền Trung theo QĐ 48/2014/QĐ-TTg </t>
  </si>
  <si>
    <t>22</t>
  </si>
  <si>
    <t>XD00022</t>
  </si>
  <si>
    <t xml:space="preserve">Cho vay đối với hộ gia đình và người nhiễm HIV, người sau cai nghiện ma túy, người điều trị nghiện các chất dạng thuốc phiện bằng thuốc thay thế, người bán dâm hoàn lương theo Quyết định số 29/2014/QĐ-TTg </t>
  </si>
  <si>
    <t>23</t>
  </si>
  <si>
    <t>XD00023</t>
  </si>
  <si>
    <t>Cho vay nhà ở xã hội theo NĐ 100/2015/NĐ-CP</t>
  </si>
  <si>
    <t>24</t>
  </si>
  <si>
    <t>XD00024</t>
  </si>
  <si>
    <t>Trong đó: nhà ở công nhân trong khu công nghiệp</t>
  </si>
  <si>
    <t>25</t>
  </si>
  <si>
    <t>XD00025</t>
  </si>
  <si>
    <t xml:space="preserve">Cho vay trồng rừng sản xuất, phát triển chăn nuôi theo NĐ 75/2015/NĐ-CP </t>
  </si>
  <si>
    <t>26</t>
  </si>
  <si>
    <t>XD00026</t>
  </si>
  <si>
    <t>Cho vay hỗ trợ phát triển kinh tế - xã hội vùng dân tộc thiểu số và miền núi giai đoạn 2017 - 2020 theo Quyết định số 2085/QĐ-TTg</t>
  </si>
  <si>
    <t>27</t>
  </si>
  <si>
    <t>XD00027</t>
  </si>
  <si>
    <t>Cho vay thanh niên xung phong cơ sở ở miền Nam tham gia kháng chiến giai đoạn 1965-1975</t>
  </si>
  <si>
    <t>28</t>
  </si>
  <si>
    <t>XD00028</t>
  </si>
  <si>
    <t>Cho vay một số dự án vốn nước ngoài khác</t>
  </si>
  <si>
    <t>29</t>
  </si>
  <si>
    <t>XD00029</t>
  </si>
  <si>
    <t xml:space="preserve">- Cho vay dự án IFAD </t>
  </si>
  <si>
    <t>30</t>
  </si>
  <si>
    <t>XD00030</t>
  </si>
  <si>
    <t>- Cho vay dự án RIDP</t>
  </si>
  <si>
    <t>31</t>
  </si>
  <si>
    <t>XD00031</t>
  </si>
  <si>
    <t xml:space="preserve"> - Cho vay Phát triển DN vừa và nhỏ (Dự án KFW)</t>
  </si>
  <si>
    <t>32</t>
  </si>
  <si>
    <t>XD00032</t>
  </si>
  <si>
    <t xml:space="preserve"> - Cho vay Phát triển ngành Lâm nghiệp (Dự án FSDP)</t>
  </si>
  <si>
    <t>33</t>
  </si>
  <si>
    <t>XD00033</t>
  </si>
  <si>
    <t>- Cho vay dự án HIV/AIDS</t>
  </si>
  <si>
    <t>34</t>
  </si>
  <si>
    <t>XD00034</t>
  </si>
  <si>
    <t>- Cho vay dự án NIPPON (Mở rộng tài chính cho người khuyết tật)</t>
  </si>
  <si>
    <t>35</t>
  </si>
  <si>
    <t>XD00035</t>
  </si>
  <si>
    <t>- Cho vay dự án CWPD</t>
  </si>
  <si>
    <t>36</t>
  </si>
  <si>
    <t>XD00036</t>
  </si>
  <si>
    <t>Cho vay các đối tượng chính sách khác</t>
  </si>
  <si>
    <t>37</t>
  </si>
  <si>
    <t>XD00037</t>
  </si>
  <si>
    <t>NHU CẦU VAY NGUỒN VỐN ĐỊA PHƯƠNG</t>
  </si>
  <si>
    <t>38</t>
  </si>
  <si>
    <t>XD00038</t>
  </si>
  <si>
    <t>XD00039</t>
  </si>
  <si>
    <t>XD00040</t>
  </si>
  <si>
    <t>XD00041</t>
  </si>
  <si>
    <t>XD00042</t>
  </si>
  <si>
    <t>XD00043</t>
  </si>
  <si>
    <t>Cho vay người lao động đi làm việc ở nước ngoài theo Quyết định số 365/QĐ-NHNN, Quyết định số 1465/QĐ-TTg, Quyết định số 63/2015/QĐ-TTg và Nghị định số 61/2015/NĐ-CP</t>
  </si>
  <si>
    <t>XD00044</t>
  </si>
  <si>
    <t>XD00045</t>
  </si>
  <si>
    <t>XD00046</t>
  </si>
  <si>
    <t>XD00047</t>
  </si>
  <si>
    <t>XD00048</t>
  </si>
  <si>
    <t>XD00049</t>
  </si>
  <si>
    <t>XD00050</t>
  </si>
  <si>
    <t>XD00051</t>
  </si>
  <si>
    <t>Cho vay đồng bào DTTS vùng ĐBSCL theo QĐ 29/2013/QĐ-TTg (QĐ 74/2008/QĐ-TTg)</t>
  </si>
  <si>
    <t>XD00052</t>
  </si>
  <si>
    <t>XD00053</t>
  </si>
  <si>
    <t>XD00054</t>
  </si>
  <si>
    <t>XD00055</t>
  </si>
  <si>
    <t>XD00056</t>
  </si>
  <si>
    <t>XD00057</t>
  </si>
  <si>
    <t>XD00058</t>
  </si>
  <si>
    <t>XD00059</t>
  </si>
  <si>
    <t>XD00060</t>
  </si>
  <si>
    <t>XD00061</t>
  </si>
  <si>
    <t>XD00062</t>
  </si>
  <si>
    <t>XD00063</t>
  </si>
  <si>
    <t>THÔN: ... XÃ/PHƯỜNG/THỊ TRẤN: …</t>
  </si>
  <si>
    <t>Trong đó: Cho vay để ký quỹ đối với người lao động đi làm việc tại Hàn Quốc</t>
  </si>
  <si>
    <t>Cho vay để ký quỹ đối với người lao động đi làm việc tại Hàn Quốc</t>
  </si>
  <si>
    <t>Cho vay trả lương ngừng việc theo QĐ15</t>
  </si>
  <si>
    <t>Cho vay hỗ trợ người sử dụng lao động vay vốn trả lương theo QĐ 23/2021/QĐ-TTg</t>
  </si>
  <si>
    <t>XD00085</t>
  </si>
  <si>
    <t>XD00086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</si>
</sst>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0"/>
      <name val="Arial"/>
    </font>
    <font>
      <sz val="12"/>
      <name val="Times New Roman"/>
      <family val="1"/>
    </font>
    <font>
      <b/>
      <sz val="12"/>
      <name val="Times New Roman"/>
      <family val="1"/>
    </font>
    <font>
      <sz val="10"/>
      <name val="Times New Roman"/>
      <family val="1"/>
    </font>
    <font>
      <i/>
      <sz val="10"/>
      <name val="Times New Roman"/>
      <family val="1"/>
    </font>
    <font>
      <b/>
      <u/>
      <sz val="12"/>
      <name val="Times New Roman"/>
      <family val="1"/>
    </font>
    <font>
      <b/>
      <sz val="14"/>
      <name val="Times New Roman"/>
      <family val="1"/>
    </font>
    <font>
      <b/>
      <sz val="11"/>
      <name val="Times New Roman"/>
      <family val="1"/>
    </font>
    <font>
      <i/>
      <sz val="12"/>
      <name val="Times New Roman"/>
      <family val="1"/>
    </font>
    <font>
      <sz val="11"/>
      <name val="Times New Roman"/>
      <family val="1"/>
    </font>
    <font>
      <i/>
      <sz val="11"/>
      <name val="Times New Roman"/>
      <family val="1"/>
      <charset val="163"/>
    </font>
    <font>
      <sz val="11"/>
      <name val="Times New Roman"/>
    </font>
    <font>
      <i/>
      <sz val="11"/>
      <name val="Times New Roman"/>
      <family val="1"/>
    </font>
  </fonts>
  <fills count="3">
    <fill>
      <patternFill patternType="none"/>
    </fill>
    <fill>
      <patternFill patternType="gray125"/>
    </fill>
    <fill>
      <patternFill patternType="solid">
        <fgColor indexed="22"/>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s>
  <cellStyleXfs count="1">
    <xf numFmtId="0" fontId="0" fillId="0" borderId="0"/>
  </cellStyleXfs>
  <cellXfs count="41">
    <xf numFmtId="0" fontId="0" fillId="0" borderId="0" xfId="0"/>
    <xf numFmtId="0" fontId="1" fillId="0" borderId="0" xfId="0" applyFont="1" applyAlignment="1">
      <alignment vertical="center"/>
    </xf>
    <xf numFmtId="0" fontId="3" fillId="0" borderId="0" xfId="0" applyFont="1" applyAlignment="1">
      <alignment vertical="center"/>
    </xf>
    <xf numFmtId="0" fontId="2" fillId="0" borderId="0" xfId="0" applyFont="1" applyAlignment="1">
      <alignment horizontal="left" vertical="center"/>
    </xf>
    <xf numFmtId="0" fontId="7" fillId="0" borderId="0" xfId="0" applyFont="1" applyAlignment="1">
      <alignment horizontal="center" vertical="center"/>
    </xf>
    <xf numFmtId="0" fontId="4" fillId="0" borderId="1" xfId="0" applyFont="1" applyBorder="1" applyAlignment="1">
      <alignment horizontal="center" vertical="center" wrapText="1"/>
    </xf>
    <xf numFmtId="0" fontId="9" fillId="0" borderId="0" xfId="0" applyFont="1" applyAlignment="1">
      <alignment vertical="center"/>
    </xf>
    <xf numFmtId="0" fontId="4" fillId="0" borderId="0" xfId="0" applyFont="1" applyAlignment="1">
      <alignment vertical="center"/>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right" vertical="center"/>
    </xf>
    <xf numFmtId="0" fontId="2" fillId="0" borderId="0" xfId="0" applyFont="1" applyAlignment="1">
      <alignment vertical="center"/>
    </xf>
    <xf numFmtId="0" fontId="2" fillId="0" borderId="0" xfId="0" applyFont="1" applyAlignment="1">
      <alignment horizontal="center" vertical="center"/>
    </xf>
    <xf numFmtId="0" fontId="8" fillId="0" borderId="0" xfId="0" applyFont="1" applyAlignment="1">
      <alignment horizontal="left" vertical="center"/>
    </xf>
    <xf numFmtId="0" fontId="9" fillId="2" borderId="7" xfId="0" applyFont="1" applyFill="1" applyBorder="1" applyAlignment="1">
      <alignment horizontal="left" vertical="center"/>
    </xf>
    <xf numFmtId="0" fontId="9" fillId="2" borderId="7" xfId="0" applyFont="1" applyFill="1" applyBorder="1" applyAlignment="1">
      <alignment horizontal="center" vertical="center"/>
    </xf>
    <xf numFmtId="3" fontId="9" fillId="0" borderId="7" xfId="0" applyNumberFormat="1" applyFont="1" applyBorder="1" applyAlignment="1" applyProtection="1">
      <alignment horizontal="right" vertical="center"/>
      <protection locked="0"/>
    </xf>
    <xf numFmtId="4" fontId="9" fillId="2" borderId="7" xfId="0" applyNumberFormat="1" applyFont="1" applyFill="1" applyBorder="1" applyAlignment="1" applyProtection="1">
      <alignment horizontal="right" vertical="center"/>
    </xf>
    <xf numFmtId="3" fontId="9" fillId="0" borderId="7" xfId="0" applyNumberFormat="1" applyFont="1" applyBorder="1" applyAlignment="1" applyProtection="1">
      <alignment horizontal="right" vertical="center"/>
      <protection locked="0"/>
    </xf>
    <xf numFmtId="0" fontId="7" fillId="2" borderId="7" xfId="0" applyFont="1" applyFill="1" applyBorder="1" applyAlignment="1">
      <alignment horizontal="center" vertical="center"/>
    </xf>
    <xf numFmtId="3" fontId="7" fillId="0" borderId="7" xfId="0" applyNumberFormat="1" applyFont="1" applyBorder="1" applyAlignment="1" applyProtection="1">
      <alignment horizontal="right" vertical="center"/>
      <protection locked="0"/>
    </xf>
    <xf numFmtId="4" fontId="7" fillId="2" borderId="7" xfId="0" applyNumberFormat="1" applyFont="1" applyFill="1" applyBorder="1" applyAlignment="1" applyProtection="1">
      <alignment horizontal="right" vertical="center"/>
    </xf>
    <xf numFmtId="0" fontId="7" fillId="2" borderId="7" xfId="0" applyFont="1" applyFill="1" applyBorder="1" applyAlignment="1">
      <alignment horizontal="left" vertical="center" wrapText="1"/>
    </xf>
    <xf numFmtId="0" fontId="9" fillId="2" borderId="7" xfId="0" applyFont="1" applyFill="1" applyBorder="1" applyAlignment="1">
      <alignment horizontal="left" vertical="center" wrapText="1"/>
    </xf>
    <xf numFmtId="0" fontId="10" fillId="2" borderId="7" xfId="0" applyFont="1" applyFill="1" applyBorder="1" applyAlignment="1">
      <alignment horizontal="left" vertical="center" wrapText="1"/>
    </xf>
    <xf numFmtId="0" fontId="11" fillId="2" borderId="7" xfId="0" applyFont="1" applyFill="1" applyBorder="1" applyAlignment="1">
      <alignment horizontal="center" vertical="center"/>
    </xf>
    <xf numFmtId="0" fontId="12" fillId="2" borderId="7" xfId="0" applyFont="1" applyFill="1" applyBorder="1" applyAlignment="1">
      <alignment horizontal="left" vertical="center" wrapText="1"/>
    </xf>
    <xf numFmtId="0" fontId="8" fillId="0" borderId="0" xfId="0" applyFont="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8" fillId="0" borderId="1" xfId="0" applyFont="1" applyBorder="1" applyAlignment="1">
      <alignment horizontal="center" vertical="center" wrapText="1"/>
    </xf>
    <xf numFmtId="0" fontId="7" fillId="0" borderId="0" xfId="0" applyFont="1" applyAlignment="1">
      <alignment horizontal="center" vertical="center"/>
    </xf>
    <xf numFmtId="0" fontId="4" fillId="0" borderId="0" xfId="0" applyFont="1" applyAlignment="1">
      <alignment horizontal="center" vertical="center"/>
    </xf>
    <xf numFmtId="0" fontId="2" fillId="0" borderId="0" xfId="0" applyFont="1" applyAlignment="1">
      <alignment horizontal="center"/>
    </xf>
    <xf numFmtId="0" fontId="6"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68"/>
  <sheetViews>
    <sheetView tabSelected="1" topLeftCell="B43" zoomScale="70" zoomScaleNormal="70" workbookViewId="0">
      <selection activeCell="H69" sqref="H69"/>
    </sheetView>
  </sheetViews>
  <sheetFormatPr defaultRowHeight="15.6" x14ac:dyDescent="0.25"/>
  <cols>
    <col min="1" max="1" width="6.44140625" style="1" customWidth="1"/>
    <col min="2" max="2" width="17" style="1" customWidth="1"/>
    <col min="3" max="3" width="80.109375" style="1" customWidth="1"/>
    <col min="4" max="4" width="30" style="1" bestFit="1" customWidth="1"/>
    <col min="5" max="5" width="17.6640625" style="1" customWidth="1"/>
    <col min="6" max="6" width="17.33203125" style="1" customWidth="1"/>
    <col min="7" max="7" width="14.33203125" style="2" customWidth="1"/>
    <col min="8" max="257" width="9.109375" style="2"/>
    <col min="258" max="258" width="6.44140625" style="2" customWidth="1"/>
    <col min="259" max="259" width="80.109375" style="2" customWidth="1"/>
    <col min="260" max="260" width="15.6640625" style="2" customWidth="1"/>
    <col min="261" max="263" width="14.33203125" style="2" customWidth="1"/>
    <col min="264" max="513" width="9.109375" style="2"/>
    <col min="514" max="514" width="6.44140625" style="2" customWidth="1"/>
    <col min="515" max="515" width="80.109375" style="2" customWidth="1"/>
    <col min="516" max="516" width="15.6640625" style="2" customWidth="1"/>
    <col min="517" max="519" width="14.33203125" style="2" customWidth="1"/>
    <col min="520" max="769" width="9.109375" style="2"/>
    <col min="770" max="770" width="6.44140625" style="2" customWidth="1"/>
    <col min="771" max="771" width="80.109375" style="2" customWidth="1"/>
    <col min="772" max="772" width="15.6640625" style="2" customWidth="1"/>
    <col min="773" max="775" width="14.33203125" style="2" customWidth="1"/>
    <col min="776" max="1025" width="9.109375" style="2"/>
    <col min="1026" max="1026" width="6.44140625" style="2" customWidth="1"/>
    <col min="1027" max="1027" width="80.109375" style="2" customWidth="1"/>
    <col min="1028" max="1028" width="15.6640625" style="2" customWidth="1"/>
    <col min="1029" max="1031" width="14.33203125" style="2" customWidth="1"/>
    <col min="1032" max="1281" width="9.109375" style="2"/>
    <col min="1282" max="1282" width="6.44140625" style="2" customWidth="1"/>
    <col min="1283" max="1283" width="80.109375" style="2" customWidth="1"/>
    <col min="1284" max="1284" width="15.6640625" style="2" customWidth="1"/>
    <col min="1285" max="1287" width="14.33203125" style="2" customWidth="1"/>
    <col min="1288" max="1537" width="9.109375" style="2"/>
    <col min="1538" max="1538" width="6.44140625" style="2" customWidth="1"/>
    <col min="1539" max="1539" width="80.109375" style="2" customWidth="1"/>
    <col min="1540" max="1540" width="15.6640625" style="2" customWidth="1"/>
    <col min="1541" max="1543" width="14.33203125" style="2" customWidth="1"/>
    <col min="1544" max="1793" width="9.109375" style="2"/>
    <col min="1794" max="1794" width="6.44140625" style="2" customWidth="1"/>
    <col min="1795" max="1795" width="80.109375" style="2" customWidth="1"/>
    <col min="1796" max="1796" width="15.6640625" style="2" customWidth="1"/>
    <col min="1797" max="1799" width="14.33203125" style="2" customWidth="1"/>
    <col min="1800" max="2049" width="9.109375" style="2"/>
    <col min="2050" max="2050" width="6.44140625" style="2" customWidth="1"/>
    <col min="2051" max="2051" width="80.109375" style="2" customWidth="1"/>
    <col min="2052" max="2052" width="15.6640625" style="2" customWidth="1"/>
    <col min="2053" max="2055" width="14.33203125" style="2" customWidth="1"/>
    <col min="2056" max="2305" width="9.109375" style="2"/>
    <col min="2306" max="2306" width="6.44140625" style="2" customWidth="1"/>
    <col min="2307" max="2307" width="80.109375" style="2" customWidth="1"/>
    <col min="2308" max="2308" width="15.6640625" style="2" customWidth="1"/>
    <col min="2309" max="2311" width="14.33203125" style="2" customWidth="1"/>
    <col min="2312" max="2561" width="9.109375" style="2"/>
    <col min="2562" max="2562" width="6.44140625" style="2" customWidth="1"/>
    <col min="2563" max="2563" width="80.109375" style="2" customWidth="1"/>
    <col min="2564" max="2564" width="15.6640625" style="2" customWidth="1"/>
    <col min="2565" max="2567" width="14.33203125" style="2" customWidth="1"/>
    <col min="2568" max="2817" width="9.109375" style="2"/>
    <col min="2818" max="2818" width="6.44140625" style="2" customWidth="1"/>
    <col min="2819" max="2819" width="80.109375" style="2" customWidth="1"/>
    <col min="2820" max="2820" width="15.6640625" style="2" customWidth="1"/>
    <col min="2821" max="2823" width="14.33203125" style="2" customWidth="1"/>
    <col min="2824" max="3073" width="9.109375" style="2"/>
    <col min="3074" max="3074" width="6.44140625" style="2" customWidth="1"/>
    <col min="3075" max="3075" width="80.109375" style="2" customWidth="1"/>
    <col min="3076" max="3076" width="15.6640625" style="2" customWidth="1"/>
    <col min="3077" max="3079" width="14.33203125" style="2" customWidth="1"/>
    <col min="3080" max="3329" width="9.109375" style="2"/>
    <col min="3330" max="3330" width="6.44140625" style="2" customWidth="1"/>
    <col min="3331" max="3331" width="80.109375" style="2" customWidth="1"/>
    <col min="3332" max="3332" width="15.6640625" style="2" customWidth="1"/>
    <col min="3333" max="3335" width="14.33203125" style="2" customWidth="1"/>
    <col min="3336" max="3585" width="9.109375" style="2"/>
    <col min="3586" max="3586" width="6.44140625" style="2" customWidth="1"/>
    <col min="3587" max="3587" width="80.109375" style="2" customWidth="1"/>
    <col min="3588" max="3588" width="15.6640625" style="2" customWidth="1"/>
    <col min="3589" max="3591" width="14.33203125" style="2" customWidth="1"/>
    <col min="3592" max="3841" width="9.109375" style="2"/>
    <col min="3842" max="3842" width="6.44140625" style="2" customWidth="1"/>
    <col min="3843" max="3843" width="80.109375" style="2" customWidth="1"/>
    <col min="3844" max="3844" width="15.6640625" style="2" customWidth="1"/>
    <col min="3845" max="3847" width="14.33203125" style="2" customWidth="1"/>
    <col min="3848" max="4097" width="9.109375" style="2"/>
    <col min="4098" max="4098" width="6.44140625" style="2" customWidth="1"/>
    <col min="4099" max="4099" width="80.109375" style="2" customWidth="1"/>
    <col min="4100" max="4100" width="15.6640625" style="2" customWidth="1"/>
    <col min="4101" max="4103" width="14.33203125" style="2" customWidth="1"/>
    <col min="4104" max="4353" width="9.109375" style="2"/>
    <col min="4354" max="4354" width="6.44140625" style="2" customWidth="1"/>
    <col min="4355" max="4355" width="80.109375" style="2" customWidth="1"/>
    <col min="4356" max="4356" width="15.6640625" style="2" customWidth="1"/>
    <col min="4357" max="4359" width="14.33203125" style="2" customWidth="1"/>
    <col min="4360" max="4609" width="9.109375" style="2"/>
    <col min="4610" max="4610" width="6.44140625" style="2" customWidth="1"/>
    <col min="4611" max="4611" width="80.109375" style="2" customWidth="1"/>
    <col min="4612" max="4612" width="15.6640625" style="2" customWidth="1"/>
    <col min="4613" max="4615" width="14.33203125" style="2" customWidth="1"/>
    <col min="4616" max="4865" width="9.109375" style="2"/>
    <col min="4866" max="4866" width="6.44140625" style="2" customWidth="1"/>
    <col min="4867" max="4867" width="80.109375" style="2" customWidth="1"/>
    <col min="4868" max="4868" width="15.6640625" style="2" customWidth="1"/>
    <col min="4869" max="4871" width="14.33203125" style="2" customWidth="1"/>
    <col min="4872" max="5121" width="9.109375" style="2"/>
    <col min="5122" max="5122" width="6.44140625" style="2" customWidth="1"/>
    <col min="5123" max="5123" width="80.109375" style="2" customWidth="1"/>
    <col min="5124" max="5124" width="15.6640625" style="2" customWidth="1"/>
    <col min="5125" max="5127" width="14.33203125" style="2" customWidth="1"/>
    <col min="5128" max="5377" width="9.109375" style="2"/>
    <col min="5378" max="5378" width="6.44140625" style="2" customWidth="1"/>
    <col min="5379" max="5379" width="80.109375" style="2" customWidth="1"/>
    <col min="5380" max="5380" width="15.6640625" style="2" customWidth="1"/>
    <col min="5381" max="5383" width="14.33203125" style="2" customWidth="1"/>
    <col min="5384" max="5633" width="9.109375" style="2"/>
    <col min="5634" max="5634" width="6.44140625" style="2" customWidth="1"/>
    <col min="5635" max="5635" width="80.109375" style="2" customWidth="1"/>
    <col min="5636" max="5636" width="15.6640625" style="2" customWidth="1"/>
    <col min="5637" max="5639" width="14.33203125" style="2" customWidth="1"/>
    <col min="5640" max="5889" width="9.109375" style="2"/>
    <col min="5890" max="5890" width="6.44140625" style="2" customWidth="1"/>
    <col min="5891" max="5891" width="80.109375" style="2" customWidth="1"/>
    <col min="5892" max="5892" width="15.6640625" style="2" customWidth="1"/>
    <col min="5893" max="5895" width="14.33203125" style="2" customWidth="1"/>
    <col min="5896" max="6145" width="9.109375" style="2"/>
    <col min="6146" max="6146" width="6.44140625" style="2" customWidth="1"/>
    <col min="6147" max="6147" width="80.109375" style="2" customWidth="1"/>
    <col min="6148" max="6148" width="15.6640625" style="2" customWidth="1"/>
    <col min="6149" max="6151" width="14.33203125" style="2" customWidth="1"/>
    <col min="6152" max="6401" width="9.109375" style="2"/>
    <col min="6402" max="6402" width="6.44140625" style="2" customWidth="1"/>
    <col min="6403" max="6403" width="80.109375" style="2" customWidth="1"/>
    <col min="6404" max="6404" width="15.6640625" style="2" customWidth="1"/>
    <col min="6405" max="6407" width="14.33203125" style="2" customWidth="1"/>
    <col min="6408" max="6657" width="9.109375" style="2"/>
    <col min="6658" max="6658" width="6.44140625" style="2" customWidth="1"/>
    <col min="6659" max="6659" width="80.109375" style="2" customWidth="1"/>
    <col min="6660" max="6660" width="15.6640625" style="2" customWidth="1"/>
    <col min="6661" max="6663" width="14.33203125" style="2" customWidth="1"/>
    <col min="6664" max="6913" width="9.109375" style="2"/>
    <col min="6914" max="6914" width="6.44140625" style="2" customWidth="1"/>
    <col min="6915" max="6915" width="80.109375" style="2" customWidth="1"/>
    <col min="6916" max="6916" width="15.6640625" style="2" customWidth="1"/>
    <col min="6917" max="6919" width="14.33203125" style="2" customWidth="1"/>
    <col min="6920" max="7169" width="9.109375" style="2"/>
    <col min="7170" max="7170" width="6.44140625" style="2" customWidth="1"/>
    <col min="7171" max="7171" width="80.109375" style="2" customWidth="1"/>
    <col min="7172" max="7172" width="15.6640625" style="2" customWidth="1"/>
    <col min="7173" max="7175" width="14.33203125" style="2" customWidth="1"/>
    <col min="7176" max="7425" width="9.109375" style="2"/>
    <col min="7426" max="7426" width="6.44140625" style="2" customWidth="1"/>
    <col min="7427" max="7427" width="80.109375" style="2" customWidth="1"/>
    <col min="7428" max="7428" width="15.6640625" style="2" customWidth="1"/>
    <col min="7429" max="7431" width="14.33203125" style="2" customWidth="1"/>
    <col min="7432" max="7681" width="9.109375" style="2"/>
    <col min="7682" max="7682" width="6.44140625" style="2" customWidth="1"/>
    <col min="7683" max="7683" width="80.109375" style="2" customWidth="1"/>
    <col min="7684" max="7684" width="15.6640625" style="2" customWidth="1"/>
    <col min="7685" max="7687" width="14.33203125" style="2" customWidth="1"/>
    <col min="7688" max="7937" width="9.109375" style="2"/>
    <col min="7938" max="7938" width="6.44140625" style="2" customWidth="1"/>
    <col min="7939" max="7939" width="80.109375" style="2" customWidth="1"/>
    <col min="7940" max="7940" width="15.6640625" style="2" customWidth="1"/>
    <col min="7941" max="7943" width="14.33203125" style="2" customWidth="1"/>
    <col min="7944" max="8193" width="9.109375" style="2"/>
    <col min="8194" max="8194" width="6.44140625" style="2" customWidth="1"/>
    <col min="8195" max="8195" width="80.109375" style="2" customWidth="1"/>
    <col min="8196" max="8196" width="15.6640625" style="2" customWidth="1"/>
    <col min="8197" max="8199" width="14.33203125" style="2" customWidth="1"/>
    <col min="8200" max="8449" width="9.109375" style="2"/>
    <col min="8450" max="8450" width="6.44140625" style="2" customWidth="1"/>
    <col min="8451" max="8451" width="80.109375" style="2" customWidth="1"/>
    <col min="8452" max="8452" width="15.6640625" style="2" customWidth="1"/>
    <col min="8453" max="8455" width="14.33203125" style="2" customWidth="1"/>
    <col min="8456" max="8705" width="9.109375" style="2"/>
    <col min="8706" max="8706" width="6.44140625" style="2" customWidth="1"/>
    <col min="8707" max="8707" width="80.109375" style="2" customWidth="1"/>
    <col min="8708" max="8708" width="15.6640625" style="2" customWidth="1"/>
    <col min="8709" max="8711" width="14.33203125" style="2" customWidth="1"/>
    <col min="8712" max="8961" width="9.109375" style="2"/>
    <col min="8962" max="8962" width="6.44140625" style="2" customWidth="1"/>
    <col min="8963" max="8963" width="80.109375" style="2" customWidth="1"/>
    <col min="8964" max="8964" width="15.6640625" style="2" customWidth="1"/>
    <col min="8965" max="8967" width="14.33203125" style="2" customWidth="1"/>
    <col min="8968" max="9217" width="9.109375" style="2"/>
    <col min="9218" max="9218" width="6.44140625" style="2" customWidth="1"/>
    <col min="9219" max="9219" width="80.109375" style="2" customWidth="1"/>
    <col min="9220" max="9220" width="15.6640625" style="2" customWidth="1"/>
    <col min="9221" max="9223" width="14.33203125" style="2" customWidth="1"/>
    <col min="9224" max="9473" width="9.109375" style="2"/>
    <col min="9474" max="9474" width="6.44140625" style="2" customWidth="1"/>
    <col min="9475" max="9475" width="80.109375" style="2" customWidth="1"/>
    <col min="9476" max="9476" width="15.6640625" style="2" customWidth="1"/>
    <col min="9477" max="9479" width="14.33203125" style="2" customWidth="1"/>
    <col min="9480" max="9729" width="9.109375" style="2"/>
    <col min="9730" max="9730" width="6.44140625" style="2" customWidth="1"/>
    <col min="9731" max="9731" width="80.109375" style="2" customWidth="1"/>
    <col min="9732" max="9732" width="15.6640625" style="2" customWidth="1"/>
    <col min="9733" max="9735" width="14.33203125" style="2" customWidth="1"/>
    <col min="9736" max="9985" width="9.109375" style="2"/>
    <col min="9986" max="9986" width="6.44140625" style="2" customWidth="1"/>
    <col min="9987" max="9987" width="80.109375" style="2" customWidth="1"/>
    <col min="9988" max="9988" width="15.6640625" style="2" customWidth="1"/>
    <col min="9989" max="9991" width="14.33203125" style="2" customWidth="1"/>
    <col min="9992" max="10241" width="9.109375" style="2"/>
    <col min="10242" max="10242" width="6.44140625" style="2" customWidth="1"/>
    <col min="10243" max="10243" width="80.109375" style="2" customWidth="1"/>
    <col min="10244" max="10244" width="15.6640625" style="2" customWidth="1"/>
    <col min="10245" max="10247" width="14.33203125" style="2" customWidth="1"/>
    <col min="10248" max="10497" width="9.109375" style="2"/>
    <col min="10498" max="10498" width="6.44140625" style="2" customWidth="1"/>
    <col min="10499" max="10499" width="80.109375" style="2" customWidth="1"/>
    <col min="10500" max="10500" width="15.6640625" style="2" customWidth="1"/>
    <col min="10501" max="10503" width="14.33203125" style="2" customWidth="1"/>
    <col min="10504" max="10753" width="9.109375" style="2"/>
    <col min="10754" max="10754" width="6.44140625" style="2" customWidth="1"/>
    <col min="10755" max="10755" width="80.109375" style="2" customWidth="1"/>
    <col min="10756" max="10756" width="15.6640625" style="2" customWidth="1"/>
    <col min="10757" max="10759" width="14.33203125" style="2" customWidth="1"/>
    <col min="10760" max="11009" width="9.109375" style="2"/>
    <col min="11010" max="11010" width="6.44140625" style="2" customWidth="1"/>
    <col min="11011" max="11011" width="80.109375" style="2" customWidth="1"/>
    <col min="11012" max="11012" width="15.6640625" style="2" customWidth="1"/>
    <col min="11013" max="11015" width="14.33203125" style="2" customWidth="1"/>
    <col min="11016" max="11265" width="9.109375" style="2"/>
    <col min="11266" max="11266" width="6.44140625" style="2" customWidth="1"/>
    <col min="11267" max="11267" width="80.109375" style="2" customWidth="1"/>
    <col min="11268" max="11268" width="15.6640625" style="2" customWidth="1"/>
    <col min="11269" max="11271" width="14.33203125" style="2" customWidth="1"/>
    <col min="11272" max="11521" width="9.109375" style="2"/>
    <col min="11522" max="11522" width="6.44140625" style="2" customWidth="1"/>
    <col min="11523" max="11523" width="80.109375" style="2" customWidth="1"/>
    <col min="11524" max="11524" width="15.6640625" style="2" customWidth="1"/>
    <col min="11525" max="11527" width="14.33203125" style="2" customWidth="1"/>
    <col min="11528" max="11777" width="9.109375" style="2"/>
    <col min="11778" max="11778" width="6.44140625" style="2" customWidth="1"/>
    <col min="11779" max="11779" width="80.109375" style="2" customWidth="1"/>
    <col min="11780" max="11780" width="15.6640625" style="2" customWidth="1"/>
    <col min="11781" max="11783" width="14.33203125" style="2" customWidth="1"/>
    <col min="11784" max="12033" width="9.109375" style="2"/>
    <col min="12034" max="12034" width="6.44140625" style="2" customWidth="1"/>
    <col min="12035" max="12035" width="80.109375" style="2" customWidth="1"/>
    <col min="12036" max="12036" width="15.6640625" style="2" customWidth="1"/>
    <col min="12037" max="12039" width="14.33203125" style="2" customWidth="1"/>
    <col min="12040" max="12289" width="9.109375" style="2"/>
    <col min="12290" max="12290" width="6.44140625" style="2" customWidth="1"/>
    <col min="12291" max="12291" width="80.109375" style="2" customWidth="1"/>
    <col min="12292" max="12292" width="15.6640625" style="2" customWidth="1"/>
    <col min="12293" max="12295" width="14.33203125" style="2" customWidth="1"/>
    <col min="12296" max="12545" width="9.109375" style="2"/>
    <col min="12546" max="12546" width="6.44140625" style="2" customWidth="1"/>
    <col min="12547" max="12547" width="80.109375" style="2" customWidth="1"/>
    <col min="12548" max="12548" width="15.6640625" style="2" customWidth="1"/>
    <col min="12549" max="12551" width="14.33203125" style="2" customWidth="1"/>
    <col min="12552" max="12801" width="9.109375" style="2"/>
    <col min="12802" max="12802" width="6.44140625" style="2" customWidth="1"/>
    <col min="12803" max="12803" width="80.109375" style="2" customWidth="1"/>
    <col min="12804" max="12804" width="15.6640625" style="2" customWidth="1"/>
    <col min="12805" max="12807" width="14.33203125" style="2" customWidth="1"/>
    <col min="12808" max="13057" width="9.109375" style="2"/>
    <col min="13058" max="13058" width="6.44140625" style="2" customWidth="1"/>
    <col min="13059" max="13059" width="80.109375" style="2" customWidth="1"/>
    <col min="13060" max="13060" width="15.6640625" style="2" customWidth="1"/>
    <col min="13061" max="13063" width="14.33203125" style="2" customWidth="1"/>
    <col min="13064" max="13313" width="9.109375" style="2"/>
    <col min="13314" max="13314" width="6.44140625" style="2" customWidth="1"/>
    <col min="13315" max="13315" width="80.109375" style="2" customWidth="1"/>
    <col min="13316" max="13316" width="15.6640625" style="2" customWidth="1"/>
    <col min="13317" max="13319" width="14.33203125" style="2" customWidth="1"/>
    <col min="13320" max="13569" width="9.109375" style="2"/>
    <col min="13570" max="13570" width="6.44140625" style="2" customWidth="1"/>
    <col min="13571" max="13571" width="80.109375" style="2" customWidth="1"/>
    <col min="13572" max="13572" width="15.6640625" style="2" customWidth="1"/>
    <col min="13573" max="13575" width="14.33203125" style="2" customWidth="1"/>
    <col min="13576" max="13825" width="9.109375" style="2"/>
    <col min="13826" max="13826" width="6.44140625" style="2" customWidth="1"/>
    <col min="13827" max="13827" width="80.109375" style="2" customWidth="1"/>
    <col min="13828" max="13828" width="15.6640625" style="2" customWidth="1"/>
    <col min="13829" max="13831" width="14.33203125" style="2" customWidth="1"/>
    <col min="13832" max="14081" width="9.109375" style="2"/>
    <col min="14082" max="14082" width="6.44140625" style="2" customWidth="1"/>
    <col min="14083" max="14083" width="80.109375" style="2" customWidth="1"/>
    <col min="14084" max="14084" width="15.6640625" style="2" customWidth="1"/>
    <col min="14085" max="14087" width="14.33203125" style="2" customWidth="1"/>
    <col min="14088" max="14337" width="9.109375" style="2"/>
    <col min="14338" max="14338" width="6.44140625" style="2" customWidth="1"/>
    <col min="14339" max="14339" width="80.109375" style="2" customWidth="1"/>
    <col min="14340" max="14340" width="15.6640625" style="2" customWidth="1"/>
    <col min="14341" max="14343" width="14.33203125" style="2" customWidth="1"/>
    <col min="14344" max="14593" width="9.109375" style="2"/>
    <col min="14594" max="14594" width="6.44140625" style="2" customWidth="1"/>
    <col min="14595" max="14595" width="80.109375" style="2" customWidth="1"/>
    <col min="14596" max="14596" width="15.6640625" style="2" customWidth="1"/>
    <col min="14597" max="14599" width="14.33203125" style="2" customWidth="1"/>
    <col min="14600" max="14849" width="9.109375" style="2"/>
    <col min="14850" max="14850" width="6.44140625" style="2" customWidth="1"/>
    <col min="14851" max="14851" width="80.109375" style="2" customWidth="1"/>
    <col min="14852" max="14852" width="15.6640625" style="2" customWidth="1"/>
    <col min="14853" max="14855" width="14.33203125" style="2" customWidth="1"/>
    <col min="14856" max="15105" width="9.109375" style="2"/>
    <col min="15106" max="15106" width="6.44140625" style="2" customWidth="1"/>
    <col min="15107" max="15107" width="80.109375" style="2" customWidth="1"/>
    <col min="15108" max="15108" width="15.6640625" style="2" customWidth="1"/>
    <col min="15109" max="15111" width="14.33203125" style="2" customWidth="1"/>
    <col min="15112" max="15361" width="9.109375" style="2"/>
    <col min="15362" max="15362" width="6.44140625" style="2" customWidth="1"/>
    <col min="15363" max="15363" width="80.109375" style="2" customWidth="1"/>
    <col min="15364" max="15364" width="15.6640625" style="2" customWidth="1"/>
    <col min="15365" max="15367" width="14.33203125" style="2" customWidth="1"/>
    <col min="15368" max="15617" width="9.109375" style="2"/>
    <col min="15618" max="15618" width="6.44140625" style="2" customWidth="1"/>
    <col min="15619" max="15619" width="80.109375" style="2" customWidth="1"/>
    <col min="15620" max="15620" width="15.6640625" style="2" customWidth="1"/>
    <col min="15621" max="15623" width="14.33203125" style="2" customWidth="1"/>
    <col min="15624" max="15873" width="9.109375" style="2"/>
    <col min="15874" max="15874" width="6.44140625" style="2" customWidth="1"/>
    <col min="15875" max="15875" width="80.109375" style="2" customWidth="1"/>
    <col min="15876" max="15876" width="15.6640625" style="2" customWidth="1"/>
    <col min="15877" max="15879" width="14.33203125" style="2" customWidth="1"/>
    <col min="15880" max="16129" width="9.109375" style="2"/>
    <col min="16130" max="16130" width="6.44140625" style="2" customWidth="1"/>
    <col min="16131" max="16131" width="80.109375" style="2" customWidth="1"/>
    <col min="16132" max="16132" width="15.6640625" style="2" customWidth="1"/>
    <col min="16133" max="16135" width="14.33203125" style="2" customWidth="1"/>
    <col min="16136" max="16384" width="9.109375" style="2"/>
  </cols>
  <sheetData>
    <row r="1" spans="1:10" x14ac:dyDescent="0.25">
      <c r="F1" s="28" t="s">
        <v>0</v>
      </c>
      <c r="G1" s="28"/>
    </row>
    <row r="2" spans="1:10" x14ac:dyDescent="0.25">
      <c r="A2" s="3"/>
      <c r="B2" s="3"/>
      <c r="F2" s="38" t="s">
        <v>1</v>
      </c>
      <c r="G2" s="38"/>
    </row>
    <row r="3" spans="1:10" x14ac:dyDescent="0.3">
      <c r="A3" s="3"/>
      <c r="B3" s="3"/>
      <c r="C3" s="3"/>
      <c r="D3" s="39" t="s">
        <v>2</v>
      </c>
      <c r="E3" s="39"/>
      <c r="F3" s="39"/>
      <c r="G3" s="39"/>
    </row>
    <row r="4" spans="1:10" x14ac:dyDescent="0.3">
      <c r="A4" s="2"/>
      <c r="B4" s="2"/>
      <c r="C4" s="3"/>
      <c r="D4" s="39" t="s">
        <v>3</v>
      </c>
      <c r="E4" s="39"/>
      <c r="F4" s="39"/>
      <c r="G4" s="39"/>
    </row>
    <row r="5" spans="1:10" ht="17.399999999999999" x14ac:dyDescent="0.25">
      <c r="A5" s="40" t="s">
        <v>23</v>
      </c>
      <c r="B5" s="40"/>
      <c r="C5" s="40"/>
      <c r="D5" s="40"/>
      <c r="E5" s="40"/>
      <c r="F5" s="40"/>
      <c r="G5" s="40"/>
    </row>
    <row r="6" spans="1:10" ht="13.8" x14ac:dyDescent="0.25">
      <c r="A6" s="37" t="s">
        <v>166</v>
      </c>
      <c r="B6" s="37"/>
      <c r="C6" s="37"/>
      <c r="D6" s="37"/>
      <c r="E6" s="37"/>
      <c r="F6" s="37"/>
      <c r="G6" s="37"/>
      <c r="H6" s="4"/>
      <c r="I6" s="4"/>
      <c r="J6" s="4"/>
    </row>
    <row r="7" spans="1:10" x14ac:dyDescent="0.25">
      <c r="E7" s="27" t="s">
        <v>4</v>
      </c>
      <c r="F7" s="27"/>
      <c r="G7" s="27"/>
      <c r="H7" s="27"/>
    </row>
    <row r="8" spans="1:10" x14ac:dyDescent="0.25">
      <c r="A8" s="29" t="s">
        <v>5</v>
      </c>
      <c r="B8" s="29" t="s">
        <v>22</v>
      </c>
      <c r="C8" s="29" t="s">
        <v>6</v>
      </c>
      <c r="D8" s="29" t="s">
        <v>24</v>
      </c>
      <c r="E8" s="30" t="s">
        <v>25</v>
      </c>
      <c r="F8" s="30"/>
      <c r="G8" s="30"/>
    </row>
    <row r="9" spans="1:10" x14ac:dyDescent="0.25">
      <c r="A9" s="29"/>
      <c r="B9" s="29"/>
      <c r="C9" s="29"/>
      <c r="D9" s="29"/>
      <c r="E9" s="31" t="s">
        <v>7</v>
      </c>
      <c r="F9" s="34" t="s">
        <v>26</v>
      </c>
      <c r="G9" s="35"/>
    </row>
    <row r="10" spans="1:10" ht="13.2" x14ac:dyDescent="0.25">
      <c r="A10" s="29"/>
      <c r="B10" s="29"/>
      <c r="C10" s="29"/>
      <c r="D10" s="29"/>
      <c r="E10" s="32"/>
      <c r="F10" s="36" t="s">
        <v>8</v>
      </c>
      <c r="G10" s="36" t="s">
        <v>9</v>
      </c>
    </row>
    <row r="11" spans="1:10" ht="13.2" x14ac:dyDescent="0.25">
      <c r="A11" s="29"/>
      <c r="B11" s="29"/>
      <c r="C11" s="29"/>
      <c r="D11" s="29"/>
      <c r="E11" s="33"/>
      <c r="F11" s="36"/>
      <c r="G11" s="36"/>
    </row>
    <row r="12" spans="1:10" ht="13.2" x14ac:dyDescent="0.25">
      <c r="A12" s="5">
        <v>1</v>
      </c>
      <c r="B12" s="5"/>
      <c r="C12" s="5">
        <v>2</v>
      </c>
      <c r="D12" s="5">
        <v>3</v>
      </c>
      <c r="E12" s="5" t="s">
        <v>10</v>
      </c>
      <c r="F12" s="5">
        <v>5</v>
      </c>
      <c r="G12" s="5">
        <v>6</v>
      </c>
    </row>
    <row r="13" spans="1:10" s="6" customFormat="1" ht="13.8" x14ac:dyDescent="0.25">
      <c r="A13" s="19" t="s">
        <v>27</v>
      </c>
      <c r="B13" s="19" t="s">
        <v>28</v>
      </c>
      <c r="C13" s="22" t="s">
        <v>29</v>
      </c>
      <c r="D13" s="20">
        <f>D14+D51</f>
        <v>0</v>
      </c>
      <c r="E13" s="21">
        <f>D13+F13</f>
        <v>0</v>
      </c>
      <c r="F13" s="20">
        <f>F14+F51</f>
        <v>0</v>
      </c>
      <c r="G13" s="21">
        <f>IFERROR(F13/D13*100,0)</f>
        <v>0</v>
      </c>
    </row>
    <row r="14" spans="1:10" ht="13.8" x14ac:dyDescent="0.25">
      <c r="A14" s="19" t="s">
        <v>30</v>
      </c>
      <c r="B14" s="19" t="s">
        <v>31</v>
      </c>
      <c r="C14" s="22" t="s">
        <v>32</v>
      </c>
      <c r="D14" s="20">
        <f>SUM(D15:D42)-D21-D36+D50</f>
        <v>0</v>
      </c>
      <c r="E14" s="21">
        <f t="shared" ref="E14:E115" si="0">D14+F14</f>
        <v>0</v>
      </c>
      <c r="F14" s="20">
        <f>SUM(F15:F42)-F21-F36+F50</f>
        <v>0</v>
      </c>
      <c r="G14" s="21">
        <f t="shared" ref="G14:G115" si="1">IFERROR(F14/D14*100,0)</f>
        <v>0</v>
      </c>
    </row>
    <row r="15" spans="1:10" ht="13.8" x14ac:dyDescent="0.25">
      <c r="A15" s="15" t="s">
        <v>33</v>
      </c>
      <c r="B15" s="25" t="s">
        <v>34</v>
      </c>
      <c r="C15" s="23" t="s">
        <v>35</v>
      </c>
      <c r="D15" s="16"/>
      <c r="E15" s="17">
        <f t="shared" si="0"/>
        <v>0</v>
      </c>
      <c r="F15" s="18"/>
      <c r="G15" s="17">
        <f t="shared" si="1"/>
        <v>0</v>
      </c>
    </row>
    <row r="16" spans="1:10" ht="13.8" x14ac:dyDescent="0.25">
      <c r="A16" s="15" t="s">
        <v>36</v>
      </c>
      <c r="B16" s="25" t="s">
        <v>37</v>
      </c>
      <c r="C16" s="23" t="s">
        <v>38</v>
      </c>
      <c r="D16" s="16"/>
      <c r="E16" s="17">
        <f t="shared" si="0"/>
        <v>0</v>
      </c>
      <c r="F16" s="18"/>
      <c r="G16" s="17">
        <f t="shared" si="1"/>
        <v>0</v>
      </c>
    </row>
    <row r="17" spans="1:7" ht="13.8" x14ac:dyDescent="0.25">
      <c r="A17" s="15" t="s">
        <v>39</v>
      </c>
      <c r="B17" s="25" t="s">
        <v>40</v>
      </c>
      <c r="C17" s="23" t="s">
        <v>41</v>
      </c>
      <c r="D17" s="16"/>
      <c r="E17" s="17">
        <f t="shared" si="0"/>
        <v>0</v>
      </c>
      <c r="F17" s="18"/>
      <c r="G17" s="17">
        <f t="shared" si="1"/>
        <v>0</v>
      </c>
    </row>
    <row r="18" spans="1:7" ht="13.8" x14ac:dyDescent="0.25">
      <c r="A18" s="15" t="s">
        <v>42</v>
      </c>
      <c r="B18" s="25" t="s">
        <v>43</v>
      </c>
      <c r="C18" s="23" t="s">
        <v>44</v>
      </c>
      <c r="D18" s="16"/>
      <c r="E18" s="17">
        <f t="shared" si="0"/>
        <v>0</v>
      </c>
      <c r="F18" s="18"/>
      <c r="G18" s="17">
        <f t="shared" si="1"/>
        <v>0</v>
      </c>
    </row>
    <row r="19" spans="1:7" ht="13.8" x14ac:dyDescent="0.25">
      <c r="A19" s="15" t="s">
        <v>45</v>
      </c>
      <c r="B19" s="25" t="s">
        <v>46</v>
      </c>
      <c r="C19" s="23" t="s">
        <v>47</v>
      </c>
      <c r="D19" s="16"/>
      <c r="E19" s="17">
        <f t="shared" si="0"/>
        <v>0</v>
      </c>
      <c r="F19" s="18"/>
      <c r="G19" s="17">
        <f t="shared" si="1"/>
        <v>0</v>
      </c>
    </row>
    <row r="20" spans="1:7" ht="27.6" x14ac:dyDescent="0.25">
      <c r="A20" s="15" t="s">
        <v>48</v>
      </c>
      <c r="B20" s="25" t="s">
        <v>49</v>
      </c>
      <c r="C20" s="23" t="s">
        <v>50</v>
      </c>
      <c r="D20" s="16"/>
      <c r="E20" s="17">
        <f t="shared" si="0"/>
        <v>0</v>
      </c>
      <c r="F20" s="18"/>
      <c r="G20" s="17">
        <f t="shared" si="1"/>
        <v>0</v>
      </c>
    </row>
    <row r="21" spans="1:7" ht="13.8" x14ac:dyDescent="0.25">
      <c r="A21" s="15" t="s">
        <v>51</v>
      </c>
      <c r="B21" s="25" t="s">
        <v>52</v>
      </c>
      <c r="C21" s="24" t="s">
        <v>168</v>
      </c>
      <c r="D21" s="16"/>
      <c r="E21" s="17">
        <f t="shared" si="0"/>
        <v>0</v>
      </c>
      <c r="F21" s="18"/>
      <c r="G21" s="17">
        <f t="shared" si="1"/>
        <v>0</v>
      </c>
    </row>
    <row r="22" spans="1:7" ht="13.8" x14ac:dyDescent="0.25">
      <c r="A22" s="15" t="s">
        <v>53</v>
      </c>
      <c r="B22" s="25" t="s">
        <v>54</v>
      </c>
      <c r="C22" s="23" t="s">
        <v>55</v>
      </c>
      <c r="D22" s="16"/>
      <c r="E22" s="17">
        <f t="shared" si="0"/>
        <v>0</v>
      </c>
      <c r="F22" s="18"/>
      <c r="G22" s="17">
        <f t="shared" si="1"/>
        <v>0</v>
      </c>
    </row>
    <row r="23" spans="1:7" ht="13.8" x14ac:dyDescent="0.25">
      <c r="A23" s="15" t="s">
        <v>56</v>
      </c>
      <c r="B23" s="25" t="s">
        <v>57</v>
      </c>
      <c r="C23" s="23" t="s">
        <v>58</v>
      </c>
      <c r="D23" s="16"/>
      <c r="E23" s="17">
        <f t="shared" si="0"/>
        <v>0</v>
      </c>
      <c r="F23" s="18"/>
      <c r="G23" s="17">
        <f t="shared" si="1"/>
        <v>0</v>
      </c>
    </row>
    <row r="24" spans="1:7" ht="13.8" x14ac:dyDescent="0.25">
      <c r="A24" s="15" t="s">
        <v>59</v>
      </c>
      <c r="B24" s="25" t="s">
        <v>60</v>
      </c>
      <c r="C24" s="23" t="s">
        <v>61</v>
      </c>
      <c r="D24" s="16"/>
      <c r="E24" s="17">
        <f t="shared" si="0"/>
        <v>0</v>
      </c>
      <c r="F24" s="18"/>
      <c r="G24" s="17">
        <f t="shared" si="1"/>
        <v>0</v>
      </c>
    </row>
    <row r="25" spans="1:7" ht="13.8" x14ac:dyDescent="0.25">
      <c r="A25" s="15" t="s">
        <v>62</v>
      </c>
      <c r="B25" s="25" t="s">
        <v>63</v>
      </c>
      <c r="C25" s="23" t="s">
        <v>64</v>
      </c>
      <c r="D25" s="16"/>
      <c r="E25" s="17">
        <f t="shared" si="0"/>
        <v>0</v>
      </c>
      <c r="F25" s="18"/>
      <c r="G25" s="17">
        <f t="shared" si="1"/>
        <v>0</v>
      </c>
    </row>
    <row r="26" spans="1:7" ht="27.6" x14ac:dyDescent="0.25">
      <c r="A26" s="15" t="s">
        <v>65</v>
      </c>
      <c r="B26" s="25" t="s">
        <v>66</v>
      </c>
      <c r="C26" s="23" t="s">
        <v>67</v>
      </c>
      <c r="D26" s="16"/>
      <c r="E26" s="17">
        <f t="shared" si="0"/>
        <v>0</v>
      </c>
      <c r="F26" s="18"/>
      <c r="G26" s="17">
        <f t="shared" si="1"/>
        <v>0</v>
      </c>
    </row>
    <row r="27" spans="1:7" ht="13.8" x14ac:dyDescent="0.25">
      <c r="A27" s="15" t="s">
        <v>68</v>
      </c>
      <c r="B27" s="25" t="s">
        <v>69</v>
      </c>
      <c r="C27" s="23" t="s">
        <v>70</v>
      </c>
      <c r="D27" s="16"/>
      <c r="E27" s="17">
        <f t="shared" si="0"/>
        <v>0</v>
      </c>
      <c r="F27" s="18"/>
      <c r="G27" s="17">
        <f t="shared" si="1"/>
        <v>0</v>
      </c>
    </row>
    <row r="28" spans="1:7" ht="13.8" x14ac:dyDescent="0.25">
      <c r="A28" s="15" t="s">
        <v>71</v>
      </c>
      <c r="B28" s="25" t="s">
        <v>72</v>
      </c>
      <c r="C28" s="23" t="s">
        <v>73</v>
      </c>
      <c r="D28" s="16"/>
      <c r="E28" s="17">
        <f t="shared" si="0"/>
        <v>0</v>
      </c>
      <c r="F28" s="18"/>
      <c r="G28" s="17">
        <f t="shared" si="1"/>
        <v>0</v>
      </c>
    </row>
    <row r="29" spans="1:7" ht="13.8" x14ac:dyDescent="0.25">
      <c r="A29" s="15" t="s">
        <v>74</v>
      </c>
      <c r="B29" s="25" t="s">
        <v>75</v>
      </c>
      <c r="C29" s="23" t="s">
        <v>76</v>
      </c>
      <c r="D29" s="16"/>
      <c r="E29" s="17">
        <f t="shared" si="0"/>
        <v>0</v>
      </c>
      <c r="F29" s="18"/>
      <c r="G29" s="17">
        <f t="shared" si="1"/>
        <v>0</v>
      </c>
    </row>
    <row r="30" spans="1:7" ht="13.8" x14ac:dyDescent="0.25">
      <c r="A30" s="15" t="s">
        <v>77</v>
      </c>
      <c r="B30" s="25" t="s">
        <v>78</v>
      </c>
      <c r="C30" s="23" t="s">
        <v>79</v>
      </c>
      <c r="D30" s="16"/>
      <c r="E30" s="17">
        <f t="shared" si="0"/>
        <v>0</v>
      </c>
      <c r="F30" s="18"/>
      <c r="G30" s="17">
        <f t="shared" si="1"/>
        <v>0</v>
      </c>
    </row>
    <row r="31" spans="1:7" ht="13.8" x14ac:dyDescent="0.25">
      <c r="A31" s="15" t="s">
        <v>80</v>
      </c>
      <c r="B31" s="25" t="s">
        <v>81</v>
      </c>
      <c r="C31" s="23" t="s">
        <v>82</v>
      </c>
      <c r="D31" s="16"/>
      <c r="E31" s="17">
        <f t="shared" si="0"/>
        <v>0</v>
      </c>
      <c r="F31" s="18"/>
      <c r="G31" s="17">
        <f t="shared" si="1"/>
        <v>0</v>
      </c>
    </row>
    <row r="32" spans="1:7" ht="13.8" x14ac:dyDescent="0.25">
      <c r="A32" s="15" t="s">
        <v>83</v>
      </c>
      <c r="B32" s="25" t="s">
        <v>84</v>
      </c>
      <c r="C32" s="23" t="s">
        <v>85</v>
      </c>
      <c r="D32" s="16"/>
      <c r="E32" s="17">
        <f t="shared" si="0"/>
        <v>0</v>
      </c>
      <c r="F32" s="18"/>
      <c r="G32" s="17">
        <f t="shared" si="1"/>
        <v>0</v>
      </c>
    </row>
    <row r="33" spans="1:7" ht="27.6" x14ac:dyDescent="0.25">
      <c r="A33" s="15" t="s">
        <v>86</v>
      </c>
      <c r="B33" s="25" t="s">
        <v>87</v>
      </c>
      <c r="C33" s="23" t="s">
        <v>88</v>
      </c>
      <c r="D33" s="16"/>
      <c r="E33" s="17">
        <f t="shared" si="0"/>
        <v>0</v>
      </c>
      <c r="F33" s="18"/>
      <c r="G33" s="17">
        <f t="shared" si="1"/>
        <v>0</v>
      </c>
    </row>
    <row r="34" spans="1:7" ht="41.4" x14ac:dyDescent="0.25">
      <c r="A34" s="15" t="s">
        <v>89</v>
      </c>
      <c r="B34" s="25" t="s">
        <v>90</v>
      </c>
      <c r="C34" s="23" t="s">
        <v>91</v>
      </c>
      <c r="D34" s="16"/>
      <c r="E34" s="17">
        <f t="shared" si="0"/>
        <v>0</v>
      </c>
      <c r="F34" s="18"/>
      <c r="G34" s="17">
        <f t="shared" si="1"/>
        <v>0</v>
      </c>
    </row>
    <row r="35" spans="1:7" ht="13.8" x14ac:dyDescent="0.25">
      <c r="A35" s="15" t="s">
        <v>92</v>
      </c>
      <c r="B35" s="25" t="s">
        <v>93</v>
      </c>
      <c r="C35" s="23" t="s">
        <v>94</v>
      </c>
      <c r="D35" s="16"/>
      <c r="E35" s="17">
        <f t="shared" si="0"/>
        <v>0</v>
      </c>
      <c r="F35" s="18"/>
      <c r="G35" s="17">
        <f t="shared" si="1"/>
        <v>0</v>
      </c>
    </row>
    <row r="36" spans="1:7" ht="13.8" x14ac:dyDescent="0.25">
      <c r="A36" s="15" t="s">
        <v>95</v>
      </c>
      <c r="B36" s="25" t="s">
        <v>96</v>
      </c>
      <c r="C36" s="24" t="s">
        <v>97</v>
      </c>
      <c r="D36" s="16"/>
      <c r="E36" s="17">
        <f t="shared" si="0"/>
        <v>0</v>
      </c>
      <c r="F36" s="18"/>
      <c r="G36" s="17">
        <f t="shared" si="1"/>
        <v>0</v>
      </c>
    </row>
    <row r="37" spans="1:7" ht="13.8" x14ac:dyDescent="0.25">
      <c r="A37" s="15" t="s">
        <v>98</v>
      </c>
      <c r="B37" s="25" t="s">
        <v>171</v>
      </c>
      <c r="C37" s="23" t="s">
        <v>169</v>
      </c>
      <c r="D37" s="16"/>
      <c r="E37" s="17">
        <f t="shared" si="0"/>
        <v>0</v>
      </c>
      <c r="F37" s="18"/>
      <c r="G37" s="17">
        <f t="shared" si="1"/>
        <v>0</v>
      </c>
    </row>
    <row r="38" spans="1:7" ht="13.8" x14ac:dyDescent="0.25">
      <c r="A38" s="15" t="s">
        <v>101</v>
      </c>
      <c r="B38" s="25" t="s">
        <v>172</v>
      </c>
      <c r="C38" s="23" t="s">
        <v>170</v>
      </c>
      <c r="D38" s="16"/>
      <c r="E38" s="17">
        <f t="shared" si="0"/>
        <v>0</v>
      </c>
      <c r="F38" s="18"/>
      <c r="G38" s="17">
        <f t="shared" si="1"/>
        <v>0</v>
      </c>
    </row>
    <row r="39" spans="1:7" ht="13.8" x14ac:dyDescent="0.25">
      <c r="A39" s="15" t="s">
        <v>104</v>
      </c>
      <c r="B39" s="25" t="s">
        <v>99</v>
      </c>
      <c r="C39" s="23" t="s">
        <v>100</v>
      </c>
      <c r="D39" s="16"/>
      <c r="E39" s="17">
        <f t="shared" si="0"/>
        <v>0</v>
      </c>
      <c r="F39" s="18"/>
      <c r="G39" s="17">
        <f t="shared" si="1"/>
        <v>0</v>
      </c>
    </row>
    <row r="40" spans="1:7" ht="27.6" x14ac:dyDescent="0.25">
      <c r="A40" s="15" t="s">
        <v>107</v>
      </c>
      <c r="B40" s="25" t="s">
        <v>102</v>
      </c>
      <c r="C40" s="23" t="s">
        <v>103</v>
      </c>
      <c r="D40" s="18"/>
      <c r="E40" s="17">
        <f t="shared" si="0"/>
        <v>0</v>
      </c>
      <c r="F40" s="18"/>
      <c r="G40" s="17">
        <f t="shared" si="1"/>
        <v>0</v>
      </c>
    </row>
    <row r="41" spans="1:7" ht="13.8" x14ac:dyDescent="0.25">
      <c r="A41" s="15" t="s">
        <v>110</v>
      </c>
      <c r="B41" s="25" t="s">
        <v>105</v>
      </c>
      <c r="C41" s="23" t="s">
        <v>106</v>
      </c>
      <c r="D41" s="18"/>
      <c r="E41" s="17">
        <f t="shared" si="0"/>
        <v>0</v>
      </c>
      <c r="F41" s="18"/>
      <c r="G41" s="17">
        <f t="shared" si="1"/>
        <v>0</v>
      </c>
    </row>
    <row r="42" spans="1:7" ht="13.8" x14ac:dyDescent="0.25">
      <c r="A42" s="15" t="s">
        <v>113</v>
      </c>
      <c r="B42" s="25" t="s">
        <v>108</v>
      </c>
      <c r="C42" s="24" t="s">
        <v>109</v>
      </c>
      <c r="D42" s="18">
        <f>SUM(D43:D49)</f>
        <v>0</v>
      </c>
      <c r="E42" s="17">
        <f t="shared" si="0"/>
        <v>0</v>
      </c>
      <c r="F42" s="18">
        <f>SUM(F43:F49)</f>
        <v>0</v>
      </c>
      <c r="G42" s="17">
        <f t="shared" si="1"/>
        <v>0</v>
      </c>
    </row>
    <row r="43" spans="1:7" ht="13.8" x14ac:dyDescent="0.25">
      <c r="A43" s="15" t="s">
        <v>116</v>
      </c>
      <c r="B43" s="25" t="s">
        <v>111</v>
      </c>
      <c r="C43" s="24" t="s">
        <v>112</v>
      </c>
      <c r="D43" s="18"/>
      <c r="E43" s="17">
        <f t="shared" si="0"/>
        <v>0</v>
      </c>
      <c r="F43" s="18"/>
      <c r="G43" s="17">
        <f t="shared" si="1"/>
        <v>0</v>
      </c>
    </row>
    <row r="44" spans="1:7" ht="13.8" x14ac:dyDescent="0.25">
      <c r="A44" s="15" t="s">
        <v>119</v>
      </c>
      <c r="B44" s="25" t="s">
        <v>114</v>
      </c>
      <c r="C44" s="24" t="s">
        <v>115</v>
      </c>
      <c r="D44" s="18"/>
      <c r="E44" s="17">
        <f t="shared" si="0"/>
        <v>0</v>
      </c>
      <c r="F44" s="18"/>
      <c r="G44" s="17">
        <f t="shared" si="1"/>
        <v>0</v>
      </c>
    </row>
    <row r="45" spans="1:7" ht="13.8" x14ac:dyDescent="0.25">
      <c r="A45" s="15" t="s">
        <v>122</v>
      </c>
      <c r="B45" s="25" t="s">
        <v>117</v>
      </c>
      <c r="C45" s="24" t="s">
        <v>118</v>
      </c>
      <c r="D45" s="18"/>
      <c r="E45" s="17">
        <f t="shared" si="0"/>
        <v>0</v>
      </c>
      <c r="F45" s="18"/>
      <c r="G45" s="17">
        <f t="shared" si="1"/>
        <v>0</v>
      </c>
    </row>
    <row r="46" spans="1:7" ht="13.8" x14ac:dyDescent="0.25">
      <c r="A46" s="15" t="s">
        <v>125</v>
      </c>
      <c r="B46" s="25" t="s">
        <v>120</v>
      </c>
      <c r="C46" s="24" t="s">
        <v>121</v>
      </c>
      <c r="D46" s="18"/>
      <c r="E46" s="17">
        <f t="shared" si="0"/>
        <v>0</v>
      </c>
      <c r="F46" s="18"/>
      <c r="G46" s="17">
        <f t="shared" si="1"/>
        <v>0</v>
      </c>
    </row>
    <row r="47" spans="1:7" ht="13.8" x14ac:dyDescent="0.25">
      <c r="A47" s="15" t="s">
        <v>128</v>
      </c>
      <c r="B47" s="25" t="s">
        <v>123</v>
      </c>
      <c r="C47" s="24" t="s">
        <v>124</v>
      </c>
      <c r="D47" s="18"/>
      <c r="E47" s="17">
        <f t="shared" si="0"/>
        <v>0</v>
      </c>
      <c r="F47" s="18"/>
      <c r="G47" s="17">
        <f t="shared" si="1"/>
        <v>0</v>
      </c>
    </row>
    <row r="48" spans="1:7" ht="13.8" x14ac:dyDescent="0.25">
      <c r="A48" s="15" t="s">
        <v>131</v>
      </c>
      <c r="B48" s="25" t="s">
        <v>126</v>
      </c>
      <c r="C48" s="23" t="s">
        <v>127</v>
      </c>
      <c r="D48" s="18"/>
      <c r="E48" s="17">
        <f t="shared" si="0"/>
        <v>0</v>
      </c>
      <c r="F48" s="18"/>
      <c r="G48" s="17">
        <f t="shared" si="1"/>
        <v>0</v>
      </c>
    </row>
    <row r="49" spans="1:7" ht="13.8" x14ac:dyDescent="0.25">
      <c r="A49" s="15" t="s">
        <v>134</v>
      </c>
      <c r="B49" s="25" t="s">
        <v>129</v>
      </c>
      <c r="C49" s="26" t="s">
        <v>130</v>
      </c>
      <c r="D49" s="18"/>
      <c r="E49" s="17">
        <f t="shared" si="0"/>
        <v>0</v>
      </c>
      <c r="F49" s="18"/>
      <c r="G49" s="17">
        <f t="shared" si="1"/>
        <v>0</v>
      </c>
    </row>
    <row r="50" spans="1:7" ht="13.8" x14ac:dyDescent="0.25">
      <c r="A50" s="15" t="s">
        <v>137</v>
      </c>
      <c r="B50" s="25" t="s">
        <v>132</v>
      </c>
      <c r="C50" s="23" t="s">
        <v>133</v>
      </c>
      <c r="D50" s="18"/>
      <c r="E50" s="17">
        <f t="shared" si="0"/>
        <v>0</v>
      </c>
      <c r="F50" s="18"/>
      <c r="G50" s="17">
        <f t="shared" si="1"/>
        <v>0</v>
      </c>
    </row>
    <row r="51" spans="1:7" ht="13.8" x14ac:dyDescent="0.25">
      <c r="A51" s="19">
        <v>39</v>
      </c>
      <c r="B51" s="19" t="s">
        <v>135</v>
      </c>
      <c r="C51" s="22" t="s">
        <v>136</v>
      </c>
      <c r="D51" s="20">
        <f>SUM(D52:D78)-D58-D73</f>
        <v>0</v>
      </c>
      <c r="E51" s="21">
        <f t="shared" si="0"/>
        <v>0</v>
      </c>
      <c r="F51" s="20">
        <f>SUM(F52:F78)-F58-F73</f>
        <v>0</v>
      </c>
      <c r="G51" s="21">
        <f t="shared" si="1"/>
        <v>0</v>
      </c>
    </row>
    <row r="52" spans="1:7" ht="13.8" x14ac:dyDescent="0.25">
      <c r="A52" s="15">
        <v>40</v>
      </c>
      <c r="B52" s="15" t="s">
        <v>138</v>
      </c>
      <c r="C52" s="23" t="s">
        <v>35</v>
      </c>
      <c r="D52" s="18"/>
      <c r="E52" s="17">
        <f t="shared" si="0"/>
        <v>0</v>
      </c>
      <c r="F52" s="18"/>
      <c r="G52" s="17">
        <f t="shared" si="1"/>
        <v>0</v>
      </c>
    </row>
    <row r="53" spans="1:7" ht="13.8" x14ac:dyDescent="0.25">
      <c r="A53" s="15">
        <v>41</v>
      </c>
      <c r="B53" s="15" t="s">
        <v>139</v>
      </c>
      <c r="C53" s="23" t="s">
        <v>38</v>
      </c>
      <c r="D53" s="18"/>
      <c r="E53" s="17">
        <f t="shared" si="0"/>
        <v>0</v>
      </c>
      <c r="F53" s="18"/>
      <c r="G53" s="17">
        <f t="shared" si="1"/>
        <v>0</v>
      </c>
    </row>
    <row r="54" spans="1:7" ht="13.8" x14ac:dyDescent="0.25">
      <c r="A54" s="15">
        <v>42</v>
      </c>
      <c r="B54" s="15" t="s">
        <v>140</v>
      </c>
      <c r="C54" s="23" t="s">
        <v>41</v>
      </c>
      <c r="D54" s="18"/>
      <c r="E54" s="17">
        <f t="shared" si="0"/>
        <v>0</v>
      </c>
      <c r="F54" s="18"/>
      <c r="G54" s="17">
        <f t="shared" si="1"/>
        <v>0</v>
      </c>
    </row>
    <row r="55" spans="1:7" ht="13.8" x14ac:dyDescent="0.25">
      <c r="A55" s="15">
        <v>43</v>
      </c>
      <c r="B55" s="15" t="s">
        <v>141</v>
      </c>
      <c r="C55" s="23" t="s">
        <v>44</v>
      </c>
      <c r="D55" s="18"/>
      <c r="E55" s="17">
        <f t="shared" si="0"/>
        <v>0</v>
      </c>
      <c r="F55" s="18"/>
      <c r="G55" s="17">
        <f t="shared" si="1"/>
        <v>0</v>
      </c>
    </row>
    <row r="56" spans="1:7" ht="13.8" x14ac:dyDescent="0.25">
      <c r="A56" s="15">
        <v>44</v>
      </c>
      <c r="B56" s="15" t="s">
        <v>142</v>
      </c>
      <c r="C56" s="23" t="s">
        <v>47</v>
      </c>
      <c r="D56" s="18"/>
      <c r="E56" s="17">
        <f t="shared" si="0"/>
        <v>0</v>
      </c>
      <c r="F56" s="18"/>
      <c r="G56" s="17">
        <f t="shared" si="1"/>
        <v>0</v>
      </c>
    </row>
    <row r="57" spans="1:7" ht="27.6" x14ac:dyDescent="0.25">
      <c r="A57" s="15">
        <v>45</v>
      </c>
      <c r="B57" s="15" t="s">
        <v>143</v>
      </c>
      <c r="C57" s="23" t="s">
        <v>144</v>
      </c>
      <c r="D57" s="18"/>
      <c r="E57" s="17">
        <f t="shared" si="0"/>
        <v>0</v>
      </c>
      <c r="F57" s="18"/>
      <c r="G57" s="17">
        <f t="shared" si="1"/>
        <v>0</v>
      </c>
    </row>
    <row r="58" spans="1:7" ht="13.8" x14ac:dyDescent="0.25">
      <c r="A58" s="15">
        <v>46</v>
      </c>
      <c r="B58" s="15" t="s">
        <v>145</v>
      </c>
      <c r="C58" s="24" t="s">
        <v>167</v>
      </c>
      <c r="D58" s="18"/>
      <c r="E58" s="17">
        <f t="shared" si="0"/>
        <v>0</v>
      </c>
      <c r="F58" s="18"/>
      <c r="G58" s="17">
        <f t="shared" si="1"/>
        <v>0</v>
      </c>
    </row>
    <row r="59" spans="1:7" ht="13.8" x14ac:dyDescent="0.25">
      <c r="A59" s="15">
        <v>47</v>
      </c>
      <c r="B59" s="15" t="s">
        <v>146</v>
      </c>
      <c r="C59" s="23" t="s">
        <v>55</v>
      </c>
      <c r="D59" s="18"/>
      <c r="E59" s="17">
        <f t="shared" si="0"/>
        <v>0</v>
      </c>
      <c r="F59" s="18"/>
      <c r="G59" s="17">
        <f t="shared" si="1"/>
        <v>0</v>
      </c>
    </row>
    <row r="60" spans="1:7" ht="13.8" x14ac:dyDescent="0.25">
      <c r="A60" s="15">
        <v>48</v>
      </c>
      <c r="B60" s="15" t="s">
        <v>147</v>
      </c>
      <c r="C60" s="23" t="s">
        <v>58</v>
      </c>
      <c r="D60" s="18"/>
      <c r="E60" s="17">
        <f t="shared" si="0"/>
        <v>0</v>
      </c>
      <c r="F60" s="18"/>
      <c r="G60" s="17">
        <f t="shared" si="1"/>
        <v>0</v>
      </c>
    </row>
    <row r="61" spans="1:7" ht="13.8" x14ac:dyDescent="0.25">
      <c r="A61" s="15">
        <v>49</v>
      </c>
      <c r="B61" s="15" t="s">
        <v>148</v>
      </c>
      <c r="C61" s="23" t="s">
        <v>61</v>
      </c>
      <c r="D61" s="18"/>
      <c r="E61" s="17">
        <f t="shared" si="0"/>
        <v>0</v>
      </c>
      <c r="F61" s="18"/>
      <c r="G61" s="17">
        <f t="shared" si="1"/>
        <v>0</v>
      </c>
    </row>
    <row r="62" spans="1:7" ht="13.8" x14ac:dyDescent="0.25">
      <c r="A62" s="15">
        <v>50</v>
      </c>
      <c r="B62" s="15" t="s">
        <v>149</v>
      </c>
      <c r="C62" s="23" t="s">
        <v>64</v>
      </c>
      <c r="D62" s="18"/>
      <c r="E62" s="17">
        <f t="shared" si="0"/>
        <v>0</v>
      </c>
      <c r="F62" s="18"/>
      <c r="G62" s="17">
        <f t="shared" si="1"/>
        <v>0</v>
      </c>
    </row>
    <row r="63" spans="1:7" ht="27.6" x14ac:dyDescent="0.25">
      <c r="A63" s="15">
        <v>51</v>
      </c>
      <c r="B63" s="15" t="s">
        <v>150</v>
      </c>
      <c r="C63" s="23" t="s">
        <v>67</v>
      </c>
      <c r="D63" s="18"/>
      <c r="E63" s="17">
        <f t="shared" si="0"/>
        <v>0</v>
      </c>
      <c r="F63" s="18"/>
      <c r="G63" s="17">
        <f t="shared" si="1"/>
        <v>0</v>
      </c>
    </row>
    <row r="64" spans="1:7" ht="13.8" x14ac:dyDescent="0.25">
      <c r="A64" s="15">
        <v>52</v>
      </c>
      <c r="B64" s="15" t="s">
        <v>151</v>
      </c>
      <c r="C64" s="23" t="s">
        <v>70</v>
      </c>
      <c r="D64" s="18"/>
      <c r="E64" s="17">
        <f t="shared" si="0"/>
        <v>0</v>
      </c>
      <c r="F64" s="18"/>
      <c r="G64" s="17">
        <f t="shared" si="1"/>
        <v>0</v>
      </c>
    </row>
    <row r="65" spans="1:7" ht="13.8" x14ac:dyDescent="0.25">
      <c r="A65" s="15">
        <v>53</v>
      </c>
      <c r="B65" s="15" t="s">
        <v>152</v>
      </c>
      <c r="C65" s="23" t="s">
        <v>153</v>
      </c>
      <c r="D65" s="18"/>
      <c r="E65" s="17">
        <f t="shared" si="0"/>
        <v>0</v>
      </c>
      <c r="F65" s="18"/>
      <c r="G65" s="17">
        <f t="shared" si="1"/>
        <v>0</v>
      </c>
    </row>
    <row r="66" spans="1:7" ht="13.8" x14ac:dyDescent="0.25">
      <c r="A66" s="15">
        <v>54</v>
      </c>
      <c r="B66" s="15" t="s">
        <v>154</v>
      </c>
      <c r="C66" s="23" t="s">
        <v>76</v>
      </c>
      <c r="D66" s="18"/>
      <c r="E66" s="17">
        <f t="shared" si="0"/>
        <v>0</v>
      </c>
      <c r="F66" s="18"/>
      <c r="G66" s="17">
        <f t="shared" si="1"/>
        <v>0</v>
      </c>
    </row>
    <row r="67" spans="1:7" ht="13.8" x14ac:dyDescent="0.25">
      <c r="A67" s="15">
        <v>55</v>
      </c>
      <c r="B67" s="15" t="s">
        <v>155</v>
      </c>
      <c r="C67" s="23" t="s">
        <v>79</v>
      </c>
      <c r="D67" s="18"/>
      <c r="E67" s="17">
        <f t="shared" si="0"/>
        <v>0</v>
      </c>
      <c r="F67" s="18"/>
      <c r="G67" s="17">
        <f t="shared" si="1"/>
        <v>0</v>
      </c>
    </row>
    <row r="68" spans="1:7" ht="13.8" x14ac:dyDescent="0.25">
      <c r="A68" s="15">
        <v>56</v>
      </c>
      <c r="B68" s="15" t="s">
        <v>156</v>
      </c>
      <c r="C68" s="23" t="s">
        <v>82</v>
      </c>
      <c r="D68" s="18"/>
      <c r="E68" s="17">
        <f t="shared" si="0"/>
        <v>0</v>
      </c>
      <c r="F68" s="18"/>
      <c r="G68" s="17">
        <f t="shared" si="1"/>
        <v>0</v>
      </c>
    </row>
    <row r="69" spans="1:7" ht="13.8" x14ac:dyDescent="0.25">
      <c r="A69" s="15">
        <v>57</v>
      </c>
      <c r="B69" s="15" t="s">
        <v>157</v>
      </c>
      <c r="C69" s="23" t="s">
        <v>85</v>
      </c>
      <c r="D69" s="18"/>
      <c r="E69" s="17">
        <f t="shared" si="0"/>
        <v>0</v>
      </c>
      <c r="F69" s="18"/>
      <c r="G69" s="17">
        <f t="shared" si="1"/>
        <v>0</v>
      </c>
    </row>
    <row r="70" spans="1:7" ht="27.6" x14ac:dyDescent="0.25">
      <c r="A70" s="15">
        <v>58</v>
      </c>
      <c r="B70" s="15" t="s">
        <v>158</v>
      </c>
      <c r="C70" s="23" t="s">
        <v>88</v>
      </c>
      <c r="D70" s="18"/>
      <c r="E70" s="17">
        <f t="shared" si="0"/>
        <v>0</v>
      </c>
      <c r="F70" s="18"/>
      <c r="G70" s="17">
        <f t="shared" si="1"/>
        <v>0</v>
      </c>
    </row>
    <row r="71" spans="1:7" ht="41.4" x14ac:dyDescent="0.25">
      <c r="A71" s="15">
        <v>59</v>
      </c>
      <c r="B71" s="15" t="s">
        <v>159</v>
      </c>
      <c r="C71" s="23" t="s">
        <v>91</v>
      </c>
      <c r="D71" s="18"/>
      <c r="E71" s="17">
        <f t="shared" si="0"/>
        <v>0</v>
      </c>
      <c r="F71" s="18"/>
      <c r="G71" s="17">
        <f t="shared" si="1"/>
        <v>0</v>
      </c>
    </row>
    <row r="72" spans="1:7" ht="13.8" x14ac:dyDescent="0.25">
      <c r="A72" s="15">
        <v>60</v>
      </c>
      <c r="B72" s="15" t="s">
        <v>160</v>
      </c>
      <c r="C72" s="23" t="s">
        <v>94</v>
      </c>
      <c r="D72" s="18"/>
      <c r="E72" s="17">
        <f t="shared" si="0"/>
        <v>0</v>
      </c>
      <c r="F72" s="18"/>
      <c r="G72" s="17">
        <f t="shared" si="1"/>
        <v>0</v>
      </c>
    </row>
    <row r="73" spans="1:7" ht="13.8" x14ac:dyDescent="0.25">
      <c r="A73" s="15">
        <v>61</v>
      </c>
      <c r="B73" s="15" t="s">
        <v>161</v>
      </c>
      <c r="C73" s="24" t="s">
        <v>97</v>
      </c>
      <c r="D73" s="18"/>
      <c r="E73" s="17">
        <f t="shared" si="0"/>
        <v>0</v>
      </c>
      <c r="F73" s="18"/>
      <c r="G73" s="17">
        <f t="shared" si="1"/>
        <v>0</v>
      </c>
    </row>
    <row r="74" spans="1:7" ht="13.8" x14ac:dyDescent="0.25">
      <c r="A74" s="15">
        <v>62</v>
      </c>
      <c r="B74" s="15" t="s">
        <v>162</v>
      </c>
      <c r="C74" s="23" t="s">
        <v>100</v>
      </c>
      <c r="D74" s="18"/>
      <c r="E74" s="17">
        <f t="shared" si="0"/>
        <v>0</v>
      </c>
      <c r="F74" s="18"/>
      <c r="G74" s="17">
        <f t="shared" si="1"/>
        <v>0</v>
      </c>
    </row>
    <row r="75" spans="1:7" ht="27.6" x14ac:dyDescent="0.25">
      <c r="A75" s="15">
        <v>63</v>
      </c>
      <c r="B75" s="15" t="s">
        <v>163</v>
      </c>
      <c r="C75" s="23" t="s">
        <v>103</v>
      </c>
      <c r="D75" s="18"/>
      <c r="E75" s="17">
        <f t="shared" si="0"/>
        <v>0</v>
      </c>
      <c r="F75" s="18"/>
      <c r="G75" s="17">
        <f t="shared" si="1"/>
        <v>0</v>
      </c>
    </row>
    <row r="76" spans="1:7" ht="13.8" x14ac:dyDescent="0.25">
      <c r="A76" s="15">
        <v>64</v>
      </c>
      <c r="B76" s="15" t="s">
        <v>164</v>
      </c>
      <c r="C76" s="23" t="s">
        <v>106</v>
      </c>
      <c r="D76" s="18"/>
      <c r="E76" s="17">
        <f t="shared" si="0"/>
        <v>0</v>
      </c>
      <c r="F76" s="18"/>
      <c r="G76" s="17">
        <f t="shared" si="1"/>
        <v>0</v>
      </c>
    </row>
    <row r="77" spans="1:7" ht="13.8" x14ac:dyDescent="0.25">
      <c r="A77" s="15">
        <v>65</v>
      </c>
      <c r="B77" s="15" t="s">
        <v>165</v>
      </c>
      <c r="C77" s="23" t="s">
        <v>133</v>
      </c>
      <c r="D77" s="18"/>
      <c r="E77" s="17">
        <f t="shared" si="0"/>
        <v>0</v>
      </c>
      <c r="F77" s="18"/>
      <c r="G77" s="17">
        <f t="shared" si="1"/>
        <v>0</v>
      </c>
    </row>
    <row r="78" spans="1:7" s="7" customFormat="1" ht="13.8" x14ac:dyDescent="0.25">
      <c r="A78" s="15"/>
      <c r="B78" s="15"/>
      <c r="C78" s="14"/>
      <c r="D78" s="16"/>
      <c r="E78" s="17">
        <f t="shared" si="0"/>
        <v>0</v>
      </c>
      <c r="F78" s="18"/>
      <c r="G78" s="17">
        <f t="shared" si="1"/>
        <v>0</v>
      </c>
    </row>
    <row r="79" spans="1:7" s="7" customFormat="1" ht="13.8" x14ac:dyDescent="0.25">
      <c r="A79" s="15"/>
      <c r="B79" s="15"/>
      <c r="C79" s="14"/>
      <c r="D79" s="16"/>
      <c r="E79" s="17">
        <f t="shared" si="0"/>
        <v>0</v>
      </c>
      <c r="F79" s="18"/>
      <c r="G79" s="17">
        <f t="shared" si="1"/>
        <v>0</v>
      </c>
    </row>
    <row r="80" spans="1:7" s="7" customFormat="1" ht="13.8" x14ac:dyDescent="0.25">
      <c r="A80" s="15"/>
      <c r="B80" s="15"/>
      <c r="C80" s="14"/>
      <c r="D80" s="16"/>
      <c r="E80" s="17">
        <f t="shared" si="0"/>
        <v>0</v>
      </c>
      <c r="F80" s="18"/>
      <c r="G80" s="17">
        <f t="shared" si="1"/>
        <v>0</v>
      </c>
    </row>
    <row r="81" spans="1:7" s="7" customFormat="1" ht="13.8" x14ac:dyDescent="0.25">
      <c r="A81" s="15"/>
      <c r="B81" s="15"/>
      <c r="C81" s="14"/>
      <c r="D81" s="16"/>
      <c r="E81" s="17">
        <f t="shared" si="0"/>
        <v>0</v>
      </c>
      <c r="F81" s="18"/>
      <c r="G81" s="17">
        <f t="shared" si="1"/>
        <v>0</v>
      </c>
    </row>
    <row r="82" spans="1:7" s="7" customFormat="1" ht="13.8" x14ac:dyDescent="0.25">
      <c r="A82" s="15"/>
      <c r="B82" s="15"/>
      <c r="C82" s="14"/>
      <c r="D82" s="16"/>
      <c r="E82" s="17">
        <f t="shared" si="0"/>
        <v>0</v>
      </c>
      <c r="F82" s="18"/>
      <c r="G82" s="17">
        <f t="shared" si="1"/>
        <v>0</v>
      </c>
    </row>
    <row r="83" spans="1:7" s="7" customFormat="1" ht="13.8" x14ac:dyDescent="0.25">
      <c r="A83" s="15"/>
      <c r="B83" s="15"/>
      <c r="C83" s="14"/>
      <c r="D83" s="16"/>
      <c r="E83" s="17">
        <f t="shared" si="0"/>
        <v>0</v>
      </c>
      <c r="F83" s="18"/>
      <c r="G83" s="17">
        <f t="shared" si="1"/>
        <v>0</v>
      </c>
    </row>
    <row r="84" spans="1:7" s="7" customFormat="1" ht="13.8" x14ac:dyDescent="0.25">
      <c r="A84" s="15"/>
      <c r="B84" s="15"/>
      <c r="C84" s="14"/>
      <c r="D84" s="16"/>
      <c r="E84" s="17">
        <f t="shared" si="0"/>
        <v>0</v>
      </c>
      <c r="F84" s="18"/>
      <c r="G84" s="17">
        <f t="shared" si="1"/>
        <v>0</v>
      </c>
    </row>
    <row r="85" spans="1:7" s="7" customFormat="1" ht="13.8" x14ac:dyDescent="0.25">
      <c r="A85" s="15"/>
      <c r="B85" s="15"/>
      <c r="C85" s="14"/>
      <c r="D85" s="16"/>
      <c r="E85" s="17">
        <f t="shared" si="0"/>
        <v>0</v>
      </c>
      <c r="F85" s="18"/>
      <c r="G85" s="17">
        <f t="shared" si="1"/>
        <v>0</v>
      </c>
    </row>
    <row r="86" spans="1:7" s="6" customFormat="1" ht="13.8" x14ac:dyDescent="0.25">
      <c r="A86" s="15"/>
      <c r="B86" s="15"/>
      <c r="C86" s="14"/>
      <c r="D86" s="16"/>
      <c r="E86" s="17">
        <f t="shared" si="0"/>
        <v>0</v>
      </c>
      <c r="F86" s="18"/>
      <c r="G86" s="17">
        <f t="shared" si="1"/>
        <v>0</v>
      </c>
    </row>
    <row r="87" spans="1:7" s="6" customFormat="1" ht="13.8" x14ac:dyDescent="0.25">
      <c r="A87" s="15"/>
      <c r="B87" s="15"/>
      <c r="C87" s="14"/>
      <c r="D87" s="16"/>
      <c r="E87" s="17">
        <f t="shared" si="0"/>
        <v>0</v>
      </c>
      <c r="F87" s="18"/>
      <c r="G87" s="17">
        <f t="shared" si="1"/>
        <v>0</v>
      </c>
    </row>
    <row r="88" spans="1:7" s="6" customFormat="1" ht="13.8" x14ac:dyDescent="0.25">
      <c r="A88" s="15"/>
      <c r="B88" s="15"/>
      <c r="C88" s="14"/>
      <c r="D88" s="16"/>
      <c r="E88" s="17">
        <f t="shared" si="0"/>
        <v>0</v>
      </c>
      <c r="F88" s="18"/>
      <c r="G88" s="17">
        <f t="shared" si="1"/>
        <v>0</v>
      </c>
    </row>
    <row r="89" spans="1:7" s="6" customFormat="1" ht="13.8" x14ac:dyDescent="0.25">
      <c r="A89" s="15"/>
      <c r="B89" s="15"/>
      <c r="C89" s="14"/>
      <c r="D89" s="16"/>
      <c r="E89" s="17">
        <f t="shared" si="0"/>
        <v>0</v>
      </c>
      <c r="F89" s="18"/>
      <c r="G89" s="17">
        <f t="shared" si="1"/>
        <v>0</v>
      </c>
    </row>
    <row r="90" spans="1:7" s="6" customFormat="1" ht="13.8" x14ac:dyDescent="0.25">
      <c r="A90" s="15"/>
      <c r="B90" s="15"/>
      <c r="C90" s="14"/>
      <c r="D90" s="16"/>
      <c r="E90" s="17">
        <f t="shared" si="0"/>
        <v>0</v>
      </c>
      <c r="F90" s="18"/>
      <c r="G90" s="17">
        <f t="shared" si="1"/>
        <v>0</v>
      </c>
    </row>
    <row r="91" spans="1:7" s="6" customFormat="1" ht="13.8" x14ac:dyDescent="0.25">
      <c r="A91" s="15"/>
      <c r="B91" s="15"/>
      <c r="C91" s="14"/>
      <c r="D91" s="16"/>
      <c r="E91" s="17">
        <f t="shared" si="0"/>
        <v>0</v>
      </c>
      <c r="F91" s="18"/>
      <c r="G91" s="17">
        <f t="shared" si="1"/>
        <v>0</v>
      </c>
    </row>
    <row r="92" spans="1:7" s="6" customFormat="1" ht="13.8" x14ac:dyDescent="0.25">
      <c r="A92" s="15"/>
      <c r="B92" s="15"/>
      <c r="C92" s="14"/>
      <c r="D92" s="16"/>
      <c r="E92" s="17">
        <f t="shared" si="0"/>
        <v>0</v>
      </c>
      <c r="F92" s="18"/>
      <c r="G92" s="17">
        <f t="shared" si="1"/>
        <v>0</v>
      </c>
    </row>
    <row r="93" spans="1:7" s="6" customFormat="1" ht="13.8" x14ac:dyDescent="0.25">
      <c r="A93" s="15"/>
      <c r="B93" s="15"/>
      <c r="C93" s="14"/>
      <c r="D93" s="16"/>
      <c r="E93" s="17">
        <f t="shared" si="0"/>
        <v>0</v>
      </c>
      <c r="F93" s="18"/>
      <c r="G93" s="17">
        <f t="shared" si="1"/>
        <v>0</v>
      </c>
    </row>
    <row r="94" spans="1:7" s="6" customFormat="1" ht="13.8" x14ac:dyDescent="0.25">
      <c r="A94" s="15"/>
      <c r="B94" s="15"/>
      <c r="C94" s="14"/>
      <c r="D94" s="16"/>
      <c r="E94" s="17">
        <f t="shared" si="0"/>
        <v>0</v>
      </c>
      <c r="F94" s="18"/>
      <c r="G94" s="17">
        <f t="shared" si="1"/>
        <v>0</v>
      </c>
    </row>
    <row r="95" spans="1:7" s="6" customFormat="1" ht="13.8" x14ac:dyDescent="0.25">
      <c r="A95" s="15"/>
      <c r="B95" s="15"/>
      <c r="C95" s="14"/>
      <c r="D95" s="16"/>
      <c r="E95" s="17">
        <f t="shared" si="0"/>
        <v>0</v>
      </c>
      <c r="F95" s="18"/>
      <c r="G95" s="17">
        <f t="shared" si="1"/>
        <v>0</v>
      </c>
    </row>
    <row r="96" spans="1:7" s="6" customFormat="1" ht="13.8" x14ac:dyDescent="0.25">
      <c r="A96" s="15"/>
      <c r="B96" s="15"/>
      <c r="C96" s="14"/>
      <c r="D96" s="16"/>
      <c r="E96" s="17">
        <f t="shared" si="0"/>
        <v>0</v>
      </c>
      <c r="F96" s="18"/>
      <c r="G96" s="17">
        <f t="shared" si="1"/>
        <v>0</v>
      </c>
    </row>
    <row r="97" spans="1:7" s="6" customFormat="1" ht="13.8" x14ac:dyDescent="0.25">
      <c r="A97" s="15"/>
      <c r="B97" s="15"/>
      <c r="C97" s="14"/>
      <c r="D97" s="16"/>
      <c r="E97" s="17">
        <f t="shared" si="0"/>
        <v>0</v>
      </c>
      <c r="F97" s="18"/>
      <c r="G97" s="17">
        <f t="shared" si="1"/>
        <v>0</v>
      </c>
    </row>
    <row r="98" spans="1:7" s="6" customFormat="1" ht="13.8" x14ac:dyDescent="0.25">
      <c r="A98" s="15"/>
      <c r="B98" s="15"/>
      <c r="C98" s="14"/>
      <c r="D98" s="16"/>
      <c r="E98" s="17">
        <f t="shared" si="0"/>
        <v>0</v>
      </c>
      <c r="F98" s="18"/>
      <c r="G98" s="17">
        <f t="shared" si="1"/>
        <v>0</v>
      </c>
    </row>
    <row r="99" spans="1:7" s="6" customFormat="1" ht="13.8" x14ac:dyDescent="0.25">
      <c r="A99" s="15"/>
      <c r="B99" s="15"/>
      <c r="C99" s="14"/>
      <c r="D99" s="16"/>
      <c r="E99" s="17">
        <f t="shared" si="0"/>
        <v>0</v>
      </c>
      <c r="F99" s="18"/>
      <c r="G99" s="17">
        <f t="shared" si="1"/>
        <v>0</v>
      </c>
    </row>
    <row r="100" spans="1:7" s="6" customFormat="1" ht="13.8" x14ac:dyDescent="0.25">
      <c r="A100" s="15"/>
      <c r="B100" s="15"/>
      <c r="C100" s="14"/>
      <c r="D100" s="16"/>
      <c r="E100" s="17">
        <f t="shared" si="0"/>
        <v>0</v>
      </c>
      <c r="F100" s="18"/>
      <c r="G100" s="17">
        <f t="shared" si="1"/>
        <v>0</v>
      </c>
    </row>
    <row r="101" spans="1:7" s="6" customFormat="1" ht="13.8" x14ac:dyDescent="0.25">
      <c r="A101" s="15"/>
      <c r="B101" s="15"/>
      <c r="C101" s="14"/>
      <c r="D101" s="16"/>
      <c r="E101" s="17">
        <f t="shared" si="0"/>
        <v>0</v>
      </c>
      <c r="F101" s="18"/>
      <c r="G101" s="17">
        <f t="shared" si="1"/>
        <v>0</v>
      </c>
    </row>
    <row r="102" spans="1:7" s="6" customFormat="1" ht="13.8" x14ac:dyDescent="0.25">
      <c r="A102" s="15"/>
      <c r="B102" s="15"/>
      <c r="C102" s="14"/>
      <c r="D102" s="16"/>
      <c r="E102" s="17">
        <f t="shared" si="0"/>
        <v>0</v>
      </c>
      <c r="F102" s="18"/>
      <c r="G102" s="17">
        <f t="shared" si="1"/>
        <v>0</v>
      </c>
    </row>
    <row r="103" spans="1:7" s="6" customFormat="1" ht="13.8" x14ac:dyDescent="0.25">
      <c r="A103" s="15"/>
      <c r="B103" s="15"/>
      <c r="C103" s="14"/>
      <c r="D103" s="16"/>
      <c r="E103" s="17">
        <f t="shared" si="0"/>
        <v>0</v>
      </c>
      <c r="F103" s="18"/>
      <c r="G103" s="17">
        <f t="shared" si="1"/>
        <v>0</v>
      </c>
    </row>
    <row r="104" spans="1:7" s="6" customFormat="1" ht="13.8" x14ac:dyDescent="0.25">
      <c r="A104" s="15"/>
      <c r="B104" s="15"/>
      <c r="C104" s="14"/>
      <c r="D104" s="16"/>
      <c r="E104" s="17">
        <f t="shared" si="0"/>
        <v>0</v>
      </c>
      <c r="F104" s="18"/>
      <c r="G104" s="17">
        <f t="shared" si="1"/>
        <v>0</v>
      </c>
    </row>
    <row r="105" spans="1:7" s="6" customFormat="1" ht="13.8" x14ac:dyDescent="0.25">
      <c r="A105" s="15"/>
      <c r="B105" s="15"/>
      <c r="C105" s="14"/>
      <c r="D105" s="16"/>
      <c r="E105" s="17">
        <f t="shared" si="0"/>
        <v>0</v>
      </c>
      <c r="F105" s="18"/>
      <c r="G105" s="17">
        <f t="shared" si="1"/>
        <v>0</v>
      </c>
    </row>
    <row r="106" spans="1:7" s="6" customFormat="1" ht="13.8" x14ac:dyDescent="0.25">
      <c r="A106" s="15"/>
      <c r="B106" s="15"/>
      <c r="C106" s="14"/>
      <c r="D106" s="16"/>
      <c r="E106" s="17">
        <f t="shared" si="0"/>
        <v>0</v>
      </c>
      <c r="F106" s="18"/>
      <c r="G106" s="17">
        <f t="shared" si="1"/>
        <v>0</v>
      </c>
    </row>
    <row r="107" spans="1:7" s="6" customFormat="1" ht="13.8" x14ac:dyDescent="0.25">
      <c r="A107" s="15"/>
      <c r="B107" s="15"/>
      <c r="C107" s="14"/>
      <c r="D107" s="16"/>
      <c r="E107" s="17">
        <f t="shared" si="0"/>
        <v>0</v>
      </c>
      <c r="F107" s="18"/>
      <c r="G107" s="17">
        <f t="shared" si="1"/>
        <v>0</v>
      </c>
    </row>
    <row r="108" spans="1:7" s="6" customFormat="1" ht="13.8" x14ac:dyDescent="0.25">
      <c r="A108" s="15"/>
      <c r="B108" s="15"/>
      <c r="C108" s="14"/>
      <c r="D108" s="16"/>
      <c r="E108" s="17">
        <f t="shared" si="0"/>
        <v>0</v>
      </c>
      <c r="F108" s="18"/>
      <c r="G108" s="17">
        <f t="shared" si="1"/>
        <v>0</v>
      </c>
    </row>
    <row r="109" spans="1:7" s="6" customFormat="1" ht="13.8" x14ac:dyDescent="0.25">
      <c r="A109" s="15"/>
      <c r="B109" s="15"/>
      <c r="C109" s="14"/>
      <c r="D109" s="16"/>
      <c r="E109" s="17">
        <f t="shared" si="0"/>
        <v>0</v>
      </c>
      <c r="F109" s="18"/>
      <c r="G109" s="17">
        <f t="shared" si="1"/>
        <v>0</v>
      </c>
    </row>
    <row r="110" spans="1:7" s="6" customFormat="1" ht="13.8" x14ac:dyDescent="0.25">
      <c r="A110" s="15"/>
      <c r="B110" s="15"/>
      <c r="C110" s="14"/>
      <c r="D110" s="16"/>
      <c r="E110" s="17">
        <f t="shared" si="0"/>
        <v>0</v>
      </c>
      <c r="F110" s="18"/>
      <c r="G110" s="17">
        <f t="shared" si="1"/>
        <v>0</v>
      </c>
    </row>
    <row r="111" spans="1:7" s="6" customFormat="1" ht="13.8" x14ac:dyDescent="0.25">
      <c r="A111" s="15"/>
      <c r="B111" s="15"/>
      <c r="C111" s="14"/>
      <c r="D111" s="16"/>
      <c r="E111" s="17">
        <f t="shared" si="0"/>
        <v>0</v>
      </c>
      <c r="F111" s="18"/>
      <c r="G111" s="17">
        <f t="shared" si="1"/>
        <v>0</v>
      </c>
    </row>
    <row r="112" spans="1:7" s="6" customFormat="1" ht="13.8" x14ac:dyDescent="0.25">
      <c r="A112" s="15"/>
      <c r="B112" s="15"/>
      <c r="C112" s="14"/>
      <c r="D112" s="16"/>
      <c r="E112" s="17">
        <f t="shared" si="0"/>
        <v>0</v>
      </c>
      <c r="F112" s="18"/>
      <c r="G112" s="17">
        <f t="shared" si="1"/>
        <v>0</v>
      </c>
    </row>
    <row r="113" spans="1:7" s="6" customFormat="1" ht="13.8" x14ac:dyDescent="0.25">
      <c r="A113" s="15"/>
      <c r="B113" s="15"/>
      <c r="C113" s="14"/>
      <c r="D113" s="16"/>
      <c r="E113" s="17">
        <f t="shared" si="0"/>
        <v>0</v>
      </c>
      <c r="F113" s="18"/>
      <c r="G113" s="17">
        <f t="shared" si="1"/>
        <v>0</v>
      </c>
    </row>
    <row r="114" spans="1:7" s="6" customFormat="1" ht="13.8" x14ac:dyDescent="0.25">
      <c r="A114" s="15"/>
      <c r="B114" s="15"/>
      <c r="C114" s="14"/>
      <c r="D114" s="16"/>
      <c r="E114" s="17">
        <f t="shared" si="0"/>
        <v>0</v>
      </c>
      <c r="F114" s="18"/>
      <c r="G114" s="17">
        <f t="shared" si="1"/>
        <v>0</v>
      </c>
    </row>
    <row r="115" spans="1:7" s="6" customFormat="1" ht="13.8" x14ac:dyDescent="0.25">
      <c r="A115" s="15"/>
      <c r="B115" s="15"/>
      <c r="C115" s="14"/>
      <c r="D115" s="16"/>
      <c r="E115" s="17">
        <f t="shared" si="0"/>
        <v>0</v>
      </c>
      <c r="F115" s="18"/>
      <c r="G115" s="17">
        <f t="shared" si="1"/>
        <v>0</v>
      </c>
    </row>
    <row r="116" spans="1:7" s="6" customFormat="1" ht="13.8" x14ac:dyDescent="0.25">
      <c r="A116" s="15"/>
      <c r="B116" s="15"/>
      <c r="C116" s="14"/>
      <c r="D116" s="16"/>
      <c r="E116" s="17">
        <f t="shared" ref="E116:E147" si="2">D116+F116</f>
        <v>0</v>
      </c>
      <c r="F116" s="18"/>
      <c r="G116" s="17">
        <f t="shared" ref="G116:G147" si="3">IFERROR(F116/D116*100,0)</f>
        <v>0</v>
      </c>
    </row>
    <row r="117" spans="1:7" s="6" customFormat="1" ht="13.8" x14ac:dyDescent="0.25">
      <c r="A117" s="15"/>
      <c r="B117" s="15"/>
      <c r="C117" s="14"/>
      <c r="D117" s="16"/>
      <c r="E117" s="17">
        <f t="shared" si="2"/>
        <v>0</v>
      </c>
      <c r="F117" s="18"/>
      <c r="G117" s="17">
        <f t="shared" si="3"/>
        <v>0</v>
      </c>
    </row>
    <row r="118" spans="1:7" s="6" customFormat="1" ht="13.8" x14ac:dyDescent="0.25">
      <c r="A118" s="15"/>
      <c r="B118" s="15"/>
      <c r="C118" s="14"/>
      <c r="D118" s="16"/>
      <c r="E118" s="17">
        <f t="shared" si="2"/>
        <v>0</v>
      </c>
      <c r="F118" s="18"/>
      <c r="G118" s="17">
        <f t="shared" si="3"/>
        <v>0</v>
      </c>
    </row>
    <row r="119" spans="1:7" s="6" customFormat="1" ht="13.8" x14ac:dyDescent="0.25">
      <c r="A119" s="15"/>
      <c r="B119" s="15"/>
      <c r="C119" s="14"/>
      <c r="D119" s="16"/>
      <c r="E119" s="17">
        <f t="shared" si="2"/>
        <v>0</v>
      </c>
      <c r="F119" s="18"/>
      <c r="G119" s="17">
        <f t="shared" si="3"/>
        <v>0</v>
      </c>
    </row>
    <row r="120" spans="1:7" s="6" customFormat="1" ht="13.8" x14ac:dyDescent="0.25">
      <c r="A120" s="15"/>
      <c r="B120" s="15"/>
      <c r="C120" s="14"/>
      <c r="D120" s="16"/>
      <c r="E120" s="17">
        <f t="shared" si="2"/>
        <v>0</v>
      </c>
      <c r="F120" s="18"/>
      <c r="G120" s="17">
        <f t="shared" si="3"/>
        <v>0</v>
      </c>
    </row>
    <row r="121" spans="1:7" s="6" customFormat="1" ht="13.8" x14ac:dyDescent="0.25">
      <c r="A121" s="15"/>
      <c r="B121" s="15"/>
      <c r="C121" s="14"/>
      <c r="D121" s="16"/>
      <c r="E121" s="17">
        <f t="shared" si="2"/>
        <v>0</v>
      </c>
      <c r="F121" s="18"/>
      <c r="G121" s="17">
        <f t="shared" si="3"/>
        <v>0</v>
      </c>
    </row>
    <row r="122" spans="1:7" s="6" customFormat="1" ht="13.8" x14ac:dyDescent="0.25">
      <c r="A122" s="15"/>
      <c r="B122" s="15"/>
      <c r="C122" s="14"/>
      <c r="D122" s="18"/>
      <c r="E122" s="17">
        <f t="shared" si="2"/>
        <v>0</v>
      </c>
      <c r="F122" s="18"/>
      <c r="G122" s="17">
        <f t="shared" si="3"/>
        <v>0</v>
      </c>
    </row>
    <row r="123" spans="1:7" s="6" customFormat="1" ht="13.8" x14ac:dyDescent="0.25">
      <c r="A123" s="15"/>
      <c r="B123" s="15"/>
      <c r="C123" s="14"/>
      <c r="D123" s="18"/>
      <c r="E123" s="17">
        <f t="shared" si="2"/>
        <v>0</v>
      </c>
      <c r="F123" s="18"/>
      <c r="G123" s="17">
        <f t="shared" si="3"/>
        <v>0</v>
      </c>
    </row>
    <row r="124" spans="1:7" s="6" customFormat="1" ht="13.8" x14ac:dyDescent="0.25">
      <c r="A124" s="15"/>
      <c r="B124" s="15"/>
      <c r="C124" s="14"/>
      <c r="D124" s="18"/>
      <c r="E124" s="17">
        <f t="shared" si="2"/>
        <v>0</v>
      </c>
      <c r="F124" s="18"/>
      <c r="G124" s="17">
        <f t="shared" si="3"/>
        <v>0</v>
      </c>
    </row>
    <row r="125" spans="1:7" s="6" customFormat="1" ht="13.8" x14ac:dyDescent="0.25">
      <c r="A125" s="15"/>
      <c r="B125" s="15"/>
      <c r="C125" s="14"/>
      <c r="D125" s="18"/>
      <c r="E125" s="17">
        <f t="shared" si="2"/>
        <v>0</v>
      </c>
      <c r="F125" s="18"/>
      <c r="G125" s="17">
        <f t="shared" si="3"/>
        <v>0</v>
      </c>
    </row>
    <row r="126" spans="1:7" s="6" customFormat="1" ht="13.8" x14ac:dyDescent="0.25">
      <c r="A126" s="15"/>
      <c r="B126" s="15"/>
      <c r="C126" s="14"/>
      <c r="D126" s="18"/>
      <c r="E126" s="17">
        <f t="shared" si="2"/>
        <v>0</v>
      </c>
      <c r="F126" s="18"/>
      <c r="G126" s="17">
        <f t="shared" si="3"/>
        <v>0</v>
      </c>
    </row>
    <row r="127" spans="1:7" s="6" customFormat="1" ht="13.8" x14ac:dyDescent="0.25">
      <c r="A127" s="15"/>
      <c r="B127" s="15"/>
      <c r="C127" s="14"/>
      <c r="D127" s="18"/>
      <c r="E127" s="17">
        <f t="shared" si="2"/>
        <v>0</v>
      </c>
      <c r="F127" s="18"/>
      <c r="G127" s="17">
        <f t="shared" si="3"/>
        <v>0</v>
      </c>
    </row>
    <row r="128" spans="1:7" s="6" customFormat="1" ht="13.8" x14ac:dyDescent="0.25">
      <c r="A128" s="15"/>
      <c r="B128" s="15"/>
      <c r="C128" s="14"/>
      <c r="D128" s="18"/>
      <c r="E128" s="17">
        <f t="shared" si="2"/>
        <v>0</v>
      </c>
      <c r="F128" s="18"/>
      <c r="G128" s="17">
        <f t="shared" si="3"/>
        <v>0</v>
      </c>
    </row>
    <row r="129" spans="1:7" s="6" customFormat="1" ht="13.8" x14ac:dyDescent="0.25">
      <c r="A129" s="15"/>
      <c r="B129" s="15"/>
      <c r="C129" s="14"/>
      <c r="D129" s="18"/>
      <c r="E129" s="17">
        <f t="shared" si="2"/>
        <v>0</v>
      </c>
      <c r="F129" s="18"/>
      <c r="G129" s="17">
        <f t="shared" si="3"/>
        <v>0</v>
      </c>
    </row>
    <row r="130" spans="1:7" s="6" customFormat="1" ht="13.8" x14ac:dyDescent="0.25">
      <c r="A130" s="15"/>
      <c r="B130" s="15"/>
      <c r="C130" s="14"/>
      <c r="D130" s="18"/>
      <c r="E130" s="17">
        <f t="shared" si="2"/>
        <v>0</v>
      </c>
      <c r="F130" s="18"/>
      <c r="G130" s="17">
        <f t="shared" si="3"/>
        <v>0</v>
      </c>
    </row>
    <row r="131" spans="1:7" s="6" customFormat="1" ht="13.8" x14ac:dyDescent="0.25">
      <c r="A131" s="15"/>
      <c r="B131" s="15"/>
      <c r="C131" s="14"/>
      <c r="D131" s="18"/>
      <c r="E131" s="17">
        <f t="shared" si="2"/>
        <v>0</v>
      </c>
      <c r="F131" s="18"/>
      <c r="G131" s="17">
        <f t="shared" si="3"/>
        <v>0</v>
      </c>
    </row>
    <row r="132" spans="1:7" s="6" customFormat="1" ht="13.8" x14ac:dyDescent="0.25">
      <c r="A132" s="15"/>
      <c r="B132" s="15"/>
      <c r="C132" s="14"/>
      <c r="D132" s="18"/>
      <c r="E132" s="17">
        <f t="shared" si="2"/>
        <v>0</v>
      </c>
      <c r="F132" s="18"/>
      <c r="G132" s="17">
        <f t="shared" si="3"/>
        <v>0</v>
      </c>
    </row>
    <row r="133" spans="1:7" s="6" customFormat="1" ht="13.8" x14ac:dyDescent="0.25">
      <c r="A133" s="15"/>
      <c r="B133" s="15"/>
      <c r="C133" s="14"/>
      <c r="D133" s="18"/>
      <c r="E133" s="17">
        <f t="shared" si="2"/>
        <v>0</v>
      </c>
      <c r="F133" s="18"/>
      <c r="G133" s="17">
        <f t="shared" si="3"/>
        <v>0</v>
      </c>
    </row>
    <row r="134" spans="1:7" s="6" customFormat="1" ht="13.8" x14ac:dyDescent="0.25">
      <c r="A134" s="15"/>
      <c r="B134" s="15"/>
      <c r="C134" s="14"/>
      <c r="D134" s="18"/>
      <c r="E134" s="17">
        <f t="shared" si="2"/>
        <v>0</v>
      </c>
      <c r="F134" s="18"/>
      <c r="G134" s="17">
        <f t="shared" si="3"/>
        <v>0</v>
      </c>
    </row>
    <row r="135" spans="1:7" s="6" customFormat="1" ht="13.8" x14ac:dyDescent="0.25">
      <c r="A135" s="15"/>
      <c r="B135" s="15"/>
      <c r="C135" s="14"/>
      <c r="D135" s="16"/>
      <c r="E135" s="17">
        <f t="shared" si="2"/>
        <v>0</v>
      </c>
      <c r="F135" s="18"/>
      <c r="G135" s="17">
        <f t="shared" si="3"/>
        <v>0</v>
      </c>
    </row>
    <row r="136" spans="1:7" ht="13.8" x14ac:dyDescent="0.25">
      <c r="A136" s="15"/>
      <c r="B136" s="15"/>
      <c r="C136" s="14"/>
      <c r="D136" s="16"/>
      <c r="E136" s="17">
        <f t="shared" si="2"/>
        <v>0</v>
      </c>
      <c r="F136" s="18"/>
      <c r="G136" s="17">
        <f t="shared" si="3"/>
        <v>0</v>
      </c>
    </row>
    <row r="137" spans="1:7" ht="13.8" x14ac:dyDescent="0.25">
      <c r="A137" s="15"/>
      <c r="B137" s="15"/>
      <c r="C137" s="14"/>
      <c r="D137" s="16"/>
      <c r="E137" s="17">
        <f t="shared" si="2"/>
        <v>0</v>
      </c>
      <c r="F137" s="18"/>
      <c r="G137" s="17">
        <f t="shared" si="3"/>
        <v>0</v>
      </c>
    </row>
    <row r="138" spans="1:7" ht="13.8" x14ac:dyDescent="0.25">
      <c r="A138" s="15"/>
      <c r="B138" s="15"/>
      <c r="C138" s="14"/>
      <c r="D138" s="16"/>
      <c r="E138" s="17">
        <f t="shared" si="2"/>
        <v>0</v>
      </c>
      <c r="F138" s="18"/>
      <c r="G138" s="17">
        <f t="shared" si="3"/>
        <v>0</v>
      </c>
    </row>
    <row r="139" spans="1:7" ht="13.8" x14ac:dyDescent="0.25">
      <c r="A139" s="15"/>
      <c r="B139" s="15"/>
      <c r="C139" s="14"/>
      <c r="D139" s="16"/>
      <c r="E139" s="17">
        <f t="shared" si="2"/>
        <v>0</v>
      </c>
      <c r="F139" s="18"/>
      <c r="G139" s="17">
        <f t="shared" si="3"/>
        <v>0</v>
      </c>
    </row>
    <row r="140" spans="1:7" ht="13.8" x14ac:dyDescent="0.25">
      <c r="A140" s="15"/>
      <c r="B140" s="15"/>
      <c r="C140" s="14"/>
      <c r="D140" s="16"/>
      <c r="E140" s="17">
        <f t="shared" si="2"/>
        <v>0</v>
      </c>
      <c r="F140" s="18"/>
      <c r="G140" s="17">
        <f t="shared" si="3"/>
        <v>0</v>
      </c>
    </row>
    <row r="141" spans="1:7" ht="13.8" x14ac:dyDescent="0.25">
      <c r="A141" s="15"/>
      <c r="B141" s="15"/>
      <c r="C141" s="14"/>
      <c r="D141" s="16"/>
      <c r="E141" s="17">
        <f t="shared" si="2"/>
        <v>0</v>
      </c>
      <c r="F141" s="18"/>
      <c r="G141" s="17">
        <f t="shared" si="3"/>
        <v>0</v>
      </c>
    </row>
    <row r="142" spans="1:7" ht="13.8" x14ac:dyDescent="0.25">
      <c r="A142" s="15"/>
      <c r="B142" s="15"/>
      <c r="C142" s="14"/>
      <c r="D142" s="16"/>
      <c r="E142" s="17">
        <f t="shared" si="2"/>
        <v>0</v>
      </c>
      <c r="F142" s="18"/>
      <c r="G142" s="17">
        <f t="shared" si="3"/>
        <v>0</v>
      </c>
    </row>
    <row r="143" spans="1:7" ht="13.8" x14ac:dyDescent="0.25">
      <c r="A143" s="15"/>
      <c r="B143" s="15"/>
      <c r="C143" s="14"/>
      <c r="D143" s="16"/>
      <c r="E143" s="17">
        <f t="shared" si="2"/>
        <v>0</v>
      </c>
      <c r="F143" s="18"/>
      <c r="G143" s="17">
        <f t="shared" si="3"/>
        <v>0</v>
      </c>
    </row>
    <row r="144" spans="1:7" ht="13.8" x14ac:dyDescent="0.25">
      <c r="A144" s="15"/>
      <c r="B144" s="15"/>
      <c r="C144" s="14"/>
      <c r="D144" s="16"/>
      <c r="E144" s="17">
        <f t="shared" si="2"/>
        <v>0</v>
      </c>
      <c r="F144" s="18"/>
      <c r="G144" s="17">
        <f t="shared" si="3"/>
        <v>0</v>
      </c>
    </row>
    <row r="145" spans="1:10" ht="13.8" x14ac:dyDescent="0.25">
      <c r="A145" s="15"/>
      <c r="B145" s="15"/>
      <c r="C145" s="14"/>
      <c r="D145" s="16"/>
      <c r="E145" s="17">
        <f t="shared" si="2"/>
        <v>0</v>
      </c>
      <c r="F145" s="18"/>
      <c r="G145" s="17">
        <f t="shared" si="3"/>
        <v>0</v>
      </c>
    </row>
    <row r="146" spans="1:10" ht="13.8" x14ac:dyDescent="0.25">
      <c r="A146" s="15"/>
      <c r="B146" s="15"/>
      <c r="C146" s="14"/>
      <c r="D146" s="16"/>
      <c r="E146" s="17">
        <f t="shared" si="2"/>
        <v>0</v>
      </c>
      <c r="F146" s="18"/>
      <c r="G146" s="17">
        <f t="shared" si="3"/>
        <v>0</v>
      </c>
    </row>
    <row r="147" spans="1:10" ht="13.8" x14ac:dyDescent="0.25">
      <c r="A147" s="15"/>
      <c r="B147" s="15"/>
      <c r="C147" s="14"/>
      <c r="D147" s="16"/>
      <c r="E147" s="17">
        <f t="shared" si="2"/>
        <v>0</v>
      </c>
      <c r="F147" s="18"/>
      <c r="G147" s="17">
        <f t="shared" si="3"/>
        <v>0</v>
      </c>
    </row>
    <row r="148" spans="1:10" x14ac:dyDescent="0.25">
      <c r="A148" s="8"/>
      <c r="B148" s="8"/>
      <c r="C148" s="9"/>
      <c r="G148" s="6"/>
    </row>
    <row r="149" spans="1:10" x14ac:dyDescent="0.25">
      <c r="A149" s="8"/>
      <c r="B149" s="8"/>
      <c r="C149" s="1" t="s">
        <v>11</v>
      </c>
      <c r="G149" s="6"/>
    </row>
    <row r="150" spans="1:10" x14ac:dyDescent="0.25">
      <c r="A150" s="10"/>
      <c r="B150" s="10"/>
      <c r="C150" s="10"/>
      <c r="D150" s="27" t="s">
        <v>12</v>
      </c>
      <c r="E150" s="27"/>
      <c r="F150" s="27"/>
      <c r="G150" s="27"/>
    </row>
    <row r="151" spans="1:10" x14ac:dyDescent="0.25">
      <c r="A151" s="11"/>
      <c r="B151" s="11"/>
      <c r="C151" s="12" t="s">
        <v>13</v>
      </c>
      <c r="D151" s="28"/>
      <c r="E151" s="28"/>
      <c r="F151" s="28"/>
      <c r="G151" s="28"/>
      <c r="H151" s="11"/>
      <c r="I151" s="11"/>
      <c r="J151" s="11"/>
    </row>
    <row r="152" spans="1:10" x14ac:dyDescent="0.25">
      <c r="A152" s="9"/>
      <c r="B152" s="9"/>
      <c r="C152" s="8" t="s">
        <v>14</v>
      </c>
      <c r="D152" s="27"/>
      <c r="E152" s="27"/>
      <c r="F152" s="27"/>
      <c r="G152" s="27"/>
      <c r="H152" s="13"/>
      <c r="I152" s="13"/>
      <c r="J152" s="13"/>
    </row>
    <row r="153" spans="1:10" ht="13.2" x14ac:dyDescent="0.25">
      <c r="A153" s="2"/>
      <c r="B153" s="2"/>
      <c r="C153" s="2"/>
      <c r="D153" s="2"/>
      <c r="E153" s="2"/>
      <c r="F153" s="2"/>
    </row>
    <row r="158" spans="1:10" x14ac:dyDescent="0.25">
      <c r="C158" s="11" t="s">
        <v>15</v>
      </c>
    </row>
    <row r="159" spans="1:10" x14ac:dyDescent="0.25">
      <c r="C159" s="1" t="s">
        <v>16</v>
      </c>
    </row>
    <row r="160" spans="1:10" x14ac:dyDescent="0.25">
      <c r="C160" s="1" t="s">
        <v>17</v>
      </c>
    </row>
    <row r="161" spans="3:3" x14ac:dyDescent="0.25">
      <c r="C161" s="1" t="s">
        <v>18</v>
      </c>
    </row>
    <row r="162" spans="3:3" x14ac:dyDescent="0.25">
      <c r="C162" s="1" t="s">
        <v>19</v>
      </c>
    </row>
    <row r="163" spans="3:3" x14ac:dyDescent="0.25">
      <c r="C163" s="1" t="s">
        <v>20</v>
      </c>
    </row>
    <row r="165" spans="3:3" x14ac:dyDescent="0.25">
      <c r="C165" s="1" t="s">
        <v>21</v>
      </c>
    </row>
    <row r="168" spans="3:3" x14ac:dyDescent="0.25">
      <c r="C168" s="11"/>
    </row>
  </sheetData>
  <mergeCells count="19">
    <mergeCell ref="A6:G6"/>
    <mergeCell ref="B8:B11"/>
    <mergeCell ref="F1:G1"/>
    <mergeCell ref="F2:G2"/>
    <mergeCell ref="D3:G3"/>
    <mergeCell ref="D4:G4"/>
    <mergeCell ref="A5:G5"/>
    <mergeCell ref="D150:G150"/>
    <mergeCell ref="D151:G151"/>
    <mergeCell ref="D152:G152"/>
    <mergeCell ref="E7:H7"/>
    <mergeCell ref="A8:A11"/>
    <mergeCell ref="C8:C11"/>
    <mergeCell ref="D8:D11"/>
    <mergeCell ref="E8:G8"/>
    <mergeCell ref="E9:E11"/>
    <mergeCell ref="F9:G9"/>
    <mergeCell ref="F10:F11"/>
    <mergeCell ref="G10:G11"/>
  </mergeCells>
  <printOptions horizontalCentered="1"/>
  <pageMargins left="3.937007874015748E-2" right="3.937007874015748E-2" top="0.19685039370078741" bottom="3.937007874015748E-2" header="3.937007874015748E-2" footer="3.937007874015748E-2"/>
  <pageSetup paperSize="9" scale="56"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DK_01A</vt:lpstr>
      <vt:lpstr>DK_01A!Print_Area</vt:lpstr>
      <vt:lpstr>DK_01A!Print_Titles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ADMIN</cp:lastModifiedBy>
  <dcterms:created xsi:type="dcterms:W3CDTF">2021-06-19T07:10:28Z</dcterms:created>
  <dcterms:modified xsi:type="dcterms:W3CDTF">2021-07-12T08:09:37Z</dcterms:modified>
</cp:coreProperties>
</file>
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báo cáo 1\2026_KHNV năm 2027\file mẫu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" i="1" l="1"/>
  <c r="D13" i="1" s="1"/>
  <c r="N48" i="1" l="1"/>
  <c r="K48" i="1"/>
  <c r="H48" i="1"/>
  <c r="E48" i="1"/>
  <c r="D34" i="1" l="1"/>
  <c r="N33" i="1" l="1"/>
  <c r="N30" i="1"/>
  <c r="N29" i="1"/>
  <c r="N28" i="1"/>
  <c r="N27" i="1"/>
  <c r="N26" i="1"/>
  <c r="N25" i="1"/>
  <c r="N23" i="1"/>
  <c r="N21" i="1"/>
  <c r="N20" i="1"/>
  <c r="N16" i="1"/>
  <c r="N17" i="1"/>
  <c r="N18" i="1"/>
  <c r="N15" i="1"/>
  <c r="K33" i="1"/>
  <c r="K30" i="1"/>
  <c r="K29" i="1"/>
  <c r="K28" i="1"/>
  <c r="K27" i="1"/>
  <c r="K26" i="1"/>
  <c r="K25" i="1"/>
  <c r="K23" i="1"/>
  <c r="K21" i="1"/>
  <c r="K20" i="1"/>
  <c r="K18" i="1"/>
  <c r="K17" i="1"/>
  <c r="K16" i="1"/>
  <c r="K15" i="1"/>
  <c r="H30" i="1"/>
  <c r="H29" i="1"/>
  <c r="H28" i="1"/>
  <c r="H27" i="1"/>
  <c r="H26" i="1"/>
  <c r="H25" i="1"/>
  <c r="H23" i="1"/>
  <c r="H21" i="1"/>
  <c r="H20" i="1"/>
  <c r="H18" i="1"/>
  <c r="H16" i="1"/>
  <c r="H17" i="1"/>
  <c r="H15" i="1"/>
  <c r="H33" i="1"/>
  <c r="E33" i="1"/>
  <c r="E30" i="1"/>
  <c r="E29" i="1"/>
  <c r="E28" i="1"/>
  <c r="E27" i="1"/>
  <c r="E26" i="1"/>
  <c r="E25" i="1"/>
  <c r="E23" i="1"/>
  <c r="E21" i="1"/>
  <c r="E20" i="1"/>
  <c r="E18" i="1"/>
  <c r="E17" i="1"/>
  <c r="E16" i="1"/>
  <c r="E15" i="1"/>
  <c r="R62" i="1" l="1"/>
  <c r="Q62" i="1"/>
  <c r="P62" i="1"/>
  <c r="O62" i="1"/>
  <c r="M62" i="1"/>
  <c r="L62" i="1"/>
  <c r="I62" i="1"/>
  <c r="J62" i="1" s="1"/>
  <c r="F62" i="1"/>
  <c r="G62" i="1" s="1"/>
  <c r="Q61" i="1"/>
  <c r="R61" i="1" s="1"/>
  <c r="P61" i="1"/>
  <c r="O61" i="1"/>
  <c r="M61" i="1"/>
  <c r="L61" i="1"/>
  <c r="I61" i="1"/>
  <c r="J61" i="1" s="1"/>
  <c r="F61" i="1"/>
  <c r="G61" i="1" s="1"/>
  <c r="Q60" i="1"/>
  <c r="R60" i="1" s="1"/>
  <c r="O60" i="1"/>
  <c r="P60" i="1" s="1"/>
  <c r="L60" i="1"/>
  <c r="M60" i="1" s="1"/>
  <c r="I60" i="1"/>
  <c r="J60" i="1" s="1"/>
  <c r="F60" i="1"/>
  <c r="G60" i="1" s="1"/>
  <c r="R59" i="1"/>
  <c r="Q59" i="1"/>
  <c r="P59" i="1"/>
  <c r="O59" i="1"/>
  <c r="L59" i="1"/>
  <c r="M59" i="1" s="1"/>
  <c r="I59" i="1"/>
  <c r="J59" i="1" s="1"/>
  <c r="F59" i="1"/>
  <c r="G59" i="1" s="1"/>
  <c r="R56" i="1"/>
  <c r="Q56" i="1"/>
  <c r="P56" i="1"/>
  <c r="O56" i="1"/>
  <c r="M56" i="1"/>
  <c r="L56" i="1"/>
  <c r="I56" i="1"/>
  <c r="J56" i="1" s="1"/>
  <c r="F56" i="1"/>
  <c r="G56" i="1" s="1"/>
  <c r="Q55" i="1"/>
  <c r="R55" i="1" s="1"/>
  <c r="O55" i="1"/>
  <c r="P55" i="1" s="1"/>
  <c r="M55" i="1"/>
  <c r="L55" i="1"/>
  <c r="J55" i="1"/>
  <c r="I55" i="1"/>
  <c r="F55" i="1"/>
  <c r="G55" i="1" s="1"/>
  <c r="R54" i="1"/>
  <c r="Q54" i="1"/>
  <c r="O54" i="1"/>
  <c r="P54" i="1" s="1"/>
  <c r="L54" i="1"/>
  <c r="M54" i="1" s="1"/>
  <c r="I54" i="1"/>
  <c r="J54" i="1" s="1"/>
  <c r="F54" i="1"/>
  <c r="G54" i="1" s="1"/>
  <c r="R53" i="1"/>
  <c r="Q53" i="1"/>
  <c r="P53" i="1"/>
  <c r="O53" i="1"/>
  <c r="M53" i="1"/>
  <c r="L53" i="1"/>
  <c r="I53" i="1"/>
  <c r="J53" i="1" s="1"/>
  <c r="F53" i="1"/>
  <c r="G53" i="1" s="1"/>
  <c r="Q52" i="1"/>
  <c r="R52" i="1" s="1"/>
  <c r="P52" i="1"/>
  <c r="O52" i="1"/>
  <c r="M52" i="1"/>
  <c r="L52" i="1"/>
  <c r="I52" i="1"/>
  <c r="J52" i="1" s="1"/>
  <c r="F52" i="1"/>
  <c r="G52" i="1" s="1"/>
  <c r="Q51" i="1"/>
  <c r="R51" i="1" s="1"/>
  <c r="O51" i="1"/>
  <c r="P51" i="1" s="1"/>
  <c r="L51" i="1"/>
  <c r="M51" i="1" s="1"/>
  <c r="I51" i="1"/>
  <c r="J51" i="1" s="1"/>
  <c r="F51" i="1"/>
  <c r="G51" i="1" s="1"/>
  <c r="R50" i="1"/>
  <c r="Q50" i="1"/>
  <c r="P50" i="1"/>
  <c r="O50" i="1"/>
  <c r="L50" i="1"/>
  <c r="M50" i="1" s="1"/>
  <c r="I50" i="1"/>
  <c r="J50" i="1" s="1"/>
  <c r="F50" i="1"/>
  <c r="G50" i="1" s="1"/>
  <c r="R49" i="1"/>
  <c r="Q49" i="1"/>
  <c r="P49" i="1"/>
  <c r="O49" i="1"/>
  <c r="M49" i="1"/>
  <c r="L49" i="1"/>
  <c r="J49" i="1"/>
  <c r="I49" i="1"/>
  <c r="F49" i="1"/>
  <c r="G49" i="1" s="1"/>
  <c r="Q48" i="1"/>
  <c r="R48" i="1" s="1"/>
  <c r="O48" i="1"/>
  <c r="P48" i="1" s="1"/>
  <c r="L48" i="1"/>
  <c r="M48" i="1" s="1"/>
  <c r="I48" i="1"/>
  <c r="J48" i="1" s="1"/>
  <c r="F48" i="1"/>
  <c r="G48" i="1" s="1"/>
  <c r="Q47" i="1"/>
  <c r="R47" i="1" s="1"/>
  <c r="O47" i="1"/>
  <c r="P47" i="1" s="1"/>
  <c r="L47" i="1"/>
  <c r="M47" i="1" s="1"/>
  <c r="I47" i="1"/>
  <c r="J47" i="1" s="1"/>
  <c r="F47" i="1"/>
  <c r="G47" i="1" s="1"/>
  <c r="Q46" i="1"/>
  <c r="R46" i="1" s="1"/>
  <c r="P46" i="1"/>
  <c r="O46" i="1"/>
  <c r="M46" i="1"/>
  <c r="L46" i="1"/>
  <c r="I46" i="1"/>
  <c r="J46" i="1" s="1"/>
  <c r="F46" i="1"/>
  <c r="G46" i="1" s="1"/>
  <c r="Q45" i="1"/>
  <c r="R45" i="1" s="1"/>
  <c r="P45" i="1"/>
  <c r="O45" i="1"/>
  <c r="M45" i="1"/>
  <c r="L45" i="1"/>
  <c r="I45" i="1"/>
  <c r="J45" i="1" s="1"/>
  <c r="F45" i="1"/>
  <c r="G45" i="1" s="1"/>
  <c r="Q44" i="1"/>
  <c r="R44" i="1" s="1"/>
  <c r="O44" i="1"/>
  <c r="P44" i="1" s="1"/>
  <c r="L44" i="1"/>
  <c r="M44" i="1" s="1"/>
  <c r="I44" i="1"/>
  <c r="J44" i="1" s="1"/>
  <c r="F44" i="1"/>
  <c r="G44" i="1" s="1"/>
  <c r="Q43" i="1"/>
  <c r="R43" i="1" s="1"/>
  <c r="P43" i="1"/>
  <c r="O43" i="1"/>
  <c r="L43" i="1"/>
  <c r="M43" i="1" s="1"/>
  <c r="I43" i="1"/>
  <c r="J43" i="1" s="1"/>
  <c r="F43" i="1"/>
  <c r="G43" i="1" s="1"/>
  <c r="Q42" i="1"/>
  <c r="R42" i="1" s="1"/>
  <c r="P42" i="1"/>
  <c r="O42" i="1"/>
  <c r="M42" i="1"/>
  <c r="L42" i="1"/>
  <c r="I42" i="1"/>
  <c r="J42" i="1" s="1"/>
  <c r="F42" i="1"/>
  <c r="G42" i="1" s="1"/>
  <c r="Q41" i="1"/>
  <c r="R41" i="1" s="1"/>
  <c r="O41" i="1"/>
  <c r="P41" i="1" s="1"/>
  <c r="M41" i="1"/>
  <c r="L41" i="1"/>
  <c r="I41" i="1"/>
  <c r="J41" i="1" s="1"/>
  <c r="F41" i="1"/>
  <c r="G41" i="1" s="1"/>
  <c r="Q40" i="1"/>
  <c r="R40" i="1" s="1"/>
  <c r="O40" i="1"/>
  <c r="P40" i="1" s="1"/>
  <c r="L40" i="1"/>
  <c r="M40" i="1" s="1"/>
  <c r="I40" i="1"/>
  <c r="J40" i="1" s="1"/>
  <c r="F40" i="1"/>
  <c r="G40" i="1" s="1"/>
  <c r="Q39" i="1"/>
  <c r="R39" i="1" s="1"/>
  <c r="P39" i="1"/>
  <c r="O39" i="1"/>
  <c r="M39" i="1"/>
  <c r="L39" i="1"/>
  <c r="I39" i="1"/>
  <c r="J39" i="1" s="1"/>
  <c r="F39" i="1"/>
  <c r="G39" i="1" s="1"/>
  <c r="Q38" i="1"/>
  <c r="R38" i="1" s="1"/>
  <c r="P38" i="1"/>
  <c r="O38" i="1"/>
  <c r="M38" i="1"/>
  <c r="L38" i="1"/>
  <c r="I38" i="1"/>
  <c r="J38" i="1" s="1"/>
  <c r="F38" i="1"/>
  <c r="G38" i="1" s="1"/>
  <c r="Q37" i="1"/>
  <c r="R37" i="1" s="1"/>
  <c r="O37" i="1"/>
  <c r="P37" i="1" s="1"/>
  <c r="L37" i="1"/>
  <c r="M37" i="1" s="1"/>
  <c r="I37" i="1"/>
  <c r="J37" i="1" s="1"/>
  <c r="F37" i="1"/>
  <c r="G37" i="1" s="1"/>
  <c r="Q36" i="1"/>
  <c r="R36" i="1" s="1"/>
  <c r="P36" i="1"/>
  <c r="O36" i="1"/>
  <c r="L36" i="1"/>
  <c r="M36" i="1" s="1"/>
  <c r="I36" i="1"/>
  <c r="J36" i="1" s="1"/>
  <c r="F36" i="1"/>
  <c r="G36" i="1" s="1"/>
  <c r="Q35" i="1"/>
  <c r="R35" i="1" s="1"/>
  <c r="P35" i="1"/>
  <c r="O35" i="1"/>
  <c r="M35" i="1"/>
  <c r="L35" i="1"/>
  <c r="I35" i="1"/>
  <c r="J35" i="1" s="1"/>
  <c r="F35" i="1"/>
  <c r="G35" i="1" s="1"/>
  <c r="N34" i="1"/>
  <c r="Q34" i="1" s="1"/>
  <c r="R34" i="1" s="1"/>
  <c r="K34" i="1"/>
  <c r="H34" i="1"/>
  <c r="E34" i="1"/>
  <c r="I34" i="1" s="1"/>
  <c r="J34" i="1" s="1"/>
  <c r="Q33" i="1"/>
  <c r="R33" i="1" s="1"/>
  <c r="O33" i="1"/>
  <c r="P33" i="1" s="1"/>
  <c r="L33" i="1"/>
  <c r="M33" i="1" s="1"/>
  <c r="I33" i="1"/>
  <c r="J33" i="1" s="1"/>
  <c r="F33" i="1"/>
  <c r="G33" i="1" s="1"/>
  <c r="Q32" i="1"/>
  <c r="R32" i="1" s="1"/>
  <c r="O32" i="1"/>
  <c r="P32" i="1" s="1"/>
  <c r="L32" i="1"/>
  <c r="M32" i="1" s="1"/>
  <c r="I32" i="1"/>
  <c r="J32" i="1" s="1"/>
  <c r="F32" i="1"/>
  <c r="G32" i="1" s="1"/>
  <c r="Q31" i="1"/>
  <c r="R31" i="1" s="1"/>
  <c r="O31" i="1"/>
  <c r="P31" i="1" s="1"/>
  <c r="L31" i="1"/>
  <c r="M31" i="1" s="1"/>
  <c r="I31" i="1"/>
  <c r="J31" i="1" s="1"/>
  <c r="F31" i="1"/>
  <c r="G31" i="1" s="1"/>
  <c r="Q30" i="1"/>
  <c r="R30" i="1" s="1"/>
  <c r="O30" i="1"/>
  <c r="P30" i="1" s="1"/>
  <c r="L30" i="1"/>
  <c r="M30" i="1" s="1"/>
  <c r="I30" i="1"/>
  <c r="J30" i="1" s="1"/>
  <c r="F30" i="1"/>
  <c r="G30" i="1" s="1"/>
  <c r="Q29" i="1"/>
  <c r="R29" i="1" s="1"/>
  <c r="O29" i="1"/>
  <c r="P29" i="1" s="1"/>
  <c r="L29" i="1"/>
  <c r="M29" i="1" s="1"/>
  <c r="I29" i="1"/>
  <c r="J29" i="1" s="1"/>
  <c r="F29" i="1"/>
  <c r="G29" i="1" s="1"/>
  <c r="Q28" i="1"/>
  <c r="R28" i="1" s="1"/>
  <c r="O28" i="1"/>
  <c r="P28" i="1" s="1"/>
  <c r="L28" i="1"/>
  <c r="M28" i="1" s="1"/>
  <c r="I28" i="1"/>
  <c r="J28" i="1" s="1"/>
  <c r="F28" i="1"/>
  <c r="G28" i="1" s="1"/>
  <c r="Q27" i="1"/>
  <c r="R27" i="1" s="1"/>
  <c r="O27" i="1"/>
  <c r="P27" i="1" s="1"/>
  <c r="L27" i="1"/>
  <c r="M27" i="1" s="1"/>
  <c r="I27" i="1"/>
  <c r="J27" i="1" s="1"/>
  <c r="F27" i="1"/>
  <c r="G27" i="1" s="1"/>
  <c r="Q26" i="1"/>
  <c r="R26" i="1" s="1"/>
  <c r="O26" i="1"/>
  <c r="P26" i="1" s="1"/>
  <c r="L26" i="1"/>
  <c r="M26" i="1" s="1"/>
  <c r="I26" i="1"/>
  <c r="J26" i="1" s="1"/>
  <c r="F26" i="1"/>
  <c r="G26" i="1" s="1"/>
  <c r="Q25" i="1"/>
  <c r="R25" i="1" s="1"/>
  <c r="O25" i="1"/>
  <c r="P25" i="1" s="1"/>
  <c r="L25" i="1"/>
  <c r="M25" i="1" s="1"/>
  <c r="I25" i="1"/>
  <c r="J25" i="1" s="1"/>
  <c r="F25" i="1"/>
  <c r="G25" i="1" s="1"/>
  <c r="Q24" i="1"/>
  <c r="R24" i="1" s="1"/>
  <c r="O24" i="1"/>
  <c r="P24" i="1" s="1"/>
  <c r="M24" i="1"/>
  <c r="L24" i="1"/>
  <c r="I24" i="1"/>
  <c r="J24" i="1" s="1"/>
  <c r="F24" i="1"/>
  <c r="G24" i="1" s="1"/>
  <c r="Q23" i="1"/>
  <c r="R23" i="1" s="1"/>
  <c r="O23" i="1"/>
  <c r="P23" i="1" s="1"/>
  <c r="L23" i="1"/>
  <c r="M23" i="1" s="1"/>
  <c r="I23" i="1"/>
  <c r="J23" i="1" s="1"/>
  <c r="F23" i="1"/>
  <c r="G23" i="1" s="1"/>
  <c r="Q22" i="1"/>
  <c r="R22" i="1" s="1"/>
  <c r="O22" i="1"/>
  <c r="P22" i="1" s="1"/>
  <c r="L22" i="1"/>
  <c r="M22" i="1" s="1"/>
  <c r="I22" i="1"/>
  <c r="J22" i="1" s="1"/>
  <c r="F22" i="1"/>
  <c r="G22" i="1" s="1"/>
  <c r="Q21" i="1"/>
  <c r="R21" i="1" s="1"/>
  <c r="O21" i="1"/>
  <c r="P21" i="1" s="1"/>
  <c r="L21" i="1"/>
  <c r="M21" i="1" s="1"/>
  <c r="I21" i="1"/>
  <c r="J21" i="1" s="1"/>
  <c r="F21" i="1"/>
  <c r="G21" i="1" s="1"/>
  <c r="Q20" i="1"/>
  <c r="R20" i="1" s="1"/>
  <c r="O20" i="1"/>
  <c r="P20" i="1" s="1"/>
  <c r="L20" i="1"/>
  <c r="M20" i="1" s="1"/>
  <c r="I20" i="1"/>
  <c r="J20" i="1" s="1"/>
  <c r="F20" i="1"/>
  <c r="G20" i="1" s="1"/>
  <c r="Q19" i="1"/>
  <c r="R19" i="1" s="1"/>
  <c r="O19" i="1"/>
  <c r="P19" i="1" s="1"/>
  <c r="L19" i="1"/>
  <c r="M19" i="1" s="1"/>
  <c r="I19" i="1"/>
  <c r="J19" i="1" s="1"/>
  <c r="F19" i="1"/>
  <c r="G19" i="1" s="1"/>
  <c r="Q18" i="1"/>
  <c r="R18" i="1" s="1"/>
  <c r="O18" i="1"/>
  <c r="P18" i="1" s="1"/>
  <c r="L18" i="1"/>
  <c r="M18" i="1" s="1"/>
  <c r="I18" i="1"/>
  <c r="J18" i="1" s="1"/>
  <c r="F18" i="1"/>
  <c r="G18" i="1" s="1"/>
  <c r="Q17" i="1"/>
  <c r="R17" i="1" s="1"/>
  <c r="O17" i="1"/>
  <c r="P17" i="1" s="1"/>
  <c r="L17" i="1"/>
  <c r="M17" i="1" s="1"/>
  <c r="I17" i="1"/>
  <c r="J17" i="1" s="1"/>
  <c r="F17" i="1"/>
  <c r="G17" i="1" s="1"/>
  <c r="Q16" i="1"/>
  <c r="R16" i="1" s="1"/>
  <c r="O16" i="1"/>
  <c r="P16" i="1" s="1"/>
  <c r="L16" i="1"/>
  <c r="M16" i="1" s="1"/>
  <c r="I16" i="1"/>
  <c r="J16" i="1" s="1"/>
  <c r="F16" i="1"/>
  <c r="G16" i="1" s="1"/>
  <c r="Q15" i="1"/>
  <c r="R15" i="1" s="1"/>
  <c r="O15" i="1"/>
  <c r="P15" i="1" s="1"/>
  <c r="L15" i="1"/>
  <c r="M15" i="1" s="1"/>
  <c r="I15" i="1"/>
  <c r="J15" i="1" s="1"/>
  <c r="F15" i="1"/>
  <c r="G15" i="1" s="1"/>
  <c r="N14" i="1"/>
  <c r="K14" i="1"/>
  <c r="H14" i="1"/>
  <c r="E14" i="1"/>
  <c r="O34" i="1" l="1"/>
  <c r="P34" i="1" s="1"/>
  <c r="N13" i="1"/>
  <c r="O14" i="1"/>
  <c r="P14" i="1" s="1"/>
  <c r="L34" i="1"/>
  <c r="M34" i="1" s="1"/>
  <c r="K13" i="1"/>
  <c r="O13" i="1" s="1"/>
  <c r="P13" i="1" s="1"/>
  <c r="H13" i="1"/>
  <c r="Q14" i="1"/>
  <c r="R14" i="1" s="1"/>
  <c r="F14" i="1"/>
  <c r="G14" i="1" s="1"/>
  <c r="Q13" i="1"/>
  <c r="R13" i="1" s="1"/>
  <c r="I14" i="1"/>
  <c r="J14" i="1" s="1"/>
  <c r="L14" i="1"/>
  <c r="M14" i="1" s="1"/>
  <c r="F34" i="1"/>
  <c r="G34" i="1" s="1"/>
  <c r="E13" i="1"/>
  <c r="F63" i="1"/>
  <c r="G63" i="1" s="1"/>
  <c r="L13" i="1" l="1"/>
  <c r="M13" i="1" s="1"/>
  <c r="I13" i="1"/>
  <c r="J13" i="1" s="1"/>
  <c r="F13" i="1"/>
  <c r="G13" i="1" s="1"/>
  <c r="Q63" i="1"/>
  <c r="R63" i="1" s="1"/>
  <c r="O63" i="1"/>
  <c r="P63" i="1" s="1"/>
</calcChain>
</file>

<file path=xl/sharedStrings.xml><?xml version="1.0" encoding="utf-8"?>
<sst xmlns="http://schemas.openxmlformats.org/spreadsheetml/2006/main" count="137" uniqueCount="103">
  <si>
    <t>Biểu số: 02/NHCS-KH</t>
  </si>
  <si>
    <t>CỘNG HOÀ XÃ HỘI CHỦ NGHĨA VIỆT NAM</t>
  </si>
  <si>
    <t>Đơn vị: triệu đồng, %, hộ, người</t>
  </si>
  <si>
    <t>STT</t>
  </si>
  <si>
    <t>CHỈ TIÊU</t>
  </si>
  <si>
    <t>Tổng số</t>
  </si>
  <si>
    <t>Số tuyệt đối (+/-)</t>
  </si>
  <si>
    <t>Số tương đối (%)</t>
  </si>
  <si>
    <t>MÃ CHỈ TIÊU</t>
  </si>
  <si>
    <t>A</t>
  </si>
  <si>
    <t>XD0001</t>
  </si>
  <si>
    <t>I</t>
  </si>
  <si>
    <t>XD0002</t>
  </si>
  <si>
    <t>XD0003</t>
  </si>
  <si>
    <t>XD0004</t>
  </si>
  <si>
    <t>XD0005</t>
  </si>
  <si>
    <t>XD0006</t>
  </si>
  <si>
    <t>II</t>
  </si>
  <si>
    <t>XD0007</t>
  </si>
  <si>
    <t>B</t>
  </si>
  <si>
    <t>XD0008</t>
  </si>
  <si>
    <t>XD0009</t>
  </si>
  <si>
    <t>Dư nợ từ nguồn vốn Trung ương</t>
  </si>
  <si>
    <t>Cho vay hộ nghèo</t>
  </si>
  <si>
    <t>Cho vay hộ cận nghèo</t>
  </si>
  <si>
    <t xml:space="preserve">Cho vay hộ mới thoát nghèo </t>
  </si>
  <si>
    <t>Cho vay hỗ trợ tạo việc làm, duy trì và mở rộng việc làm</t>
  </si>
  <si>
    <t>Cho vay từ nguồn vốn theo Nghị quyết 11/NQ-CP</t>
  </si>
  <si>
    <t>Cho vay người lao động đi làm việc ở nước ngoài</t>
  </si>
  <si>
    <t xml:space="preserve">Cho vay hộ gia đình SXKD tại vùng khó khăn </t>
  </si>
  <si>
    <t>Cho vay thương nhân tại vùng khó khăn</t>
  </si>
  <si>
    <t xml:space="preserve">Cho vay phát triển kinh tế - xã hội vùng đồng bào DTTS và miền núi </t>
  </si>
  <si>
    <t xml:space="preserve">Cho vay người chấp hành xong án phạt tù </t>
  </si>
  <si>
    <t xml:space="preserve">Cho vay người sau cai nghiện ma túy </t>
  </si>
  <si>
    <t xml:space="preserve">Cho vay học sinh, sinh viên có hoàn cảnh khó khăn </t>
  </si>
  <si>
    <t>Cho vay HSSV, học viên thạc sĩ, nghiên cứu sinh học các ngành khoa học, công nghệ, kỹ thuật và toán</t>
  </si>
  <si>
    <t>Cho vay nước sạch và vệ sinh môi trường nông thôn</t>
  </si>
  <si>
    <t xml:space="preserve">Cho vay nhà ở xã hội </t>
  </si>
  <si>
    <t>Cho vay dự án vốn nước ngoài</t>
  </si>
  <si>
    <t>Các chương trình đã hết thời hạn giải ngân</t>
  </si>
  <si>
    <t xml:space="preserve">Dư nợ từ nguồn vốn nhận ủy thác tại địa phương </t>
  </si>
  <si>
    <t>Cho vay khác</t>
  </si>
  <si>
    <t xml:space="preserve">THUYẾT MINH MỘT SỐ CHỈ TIÊU </t>
  </si>
  <si>
    <t>Số hộ dân cư trú trên địa bàn (hộ)</t>
  </si>
  <si>
    <t>Số hộ nghèo trên địa bàn (hộ)</t>
  </si>
  <si>
    <t xml:space="preserve">Số hộ nghèo đủ điều kiện, có nhu cầu vay vốn phát sinh trong năm </t>
  </si>
  <si>
    <t>Số hộ cận nghèo trên địa bàn (hộ)</t>
  </si>
  <si>
    <t xml:space="preserve">Số hộ cận nghèo đủ điều kiện, có nhu cầu vay vốn phát sinh trong năm </t>
  </si>
  <si>
    <t>Số hộ mới thoát nghèo (hộ)</t>
  </si>
  <si>
    <t>Số hộ mới thoát nghèo đủ điều kiện, có nhu cầu vay vốn phát sinh trong năm</t>
  </si>
  <si>
    <t>Số công trình nước sạch và vệ sinh môi trường nông thôn được sửa chữa, xây mới trong năm (công trình)</t>
  </si>
  <si>
    <t>Số căn nhà ở xã hội được mua/thuê mua, xây dựng/sửa chữa, xây mới trong năm (căn nhà)</t>
  </si>
  <si>
    <t>Tr/đó</t>
  </si>
  <si>
    <t>XD0010</t>
  </si>
  <si>
    <t>XD0011</t>
  </si>
  <si>
    <t>XD0012</t>
  </si>
  <si>
    <t>XD0013</t>
  </si>
  <si>
    <t>XD0014</t>
  </si>
  <si>
    <t>XD0015</t>
  </si>
  <si>
    <t>XD0016</t>
  </si>
  <si>
    <t>XD0017</t>
  </si>
  <si>
    <t>XD0018</t>
  </si>
  <si>
    <t>XD0019</t>
  </si>
  <si>
    <t>XD0020</t>
  </si>
  <si>
    <t>XD0021</t>
  </si>
  <si>
    <t>XD0022</t>
  </si>
  <si>
    <t>XD0023</t>
  </si>
  <si>
    <t>XD0024</t>
  </si>
  <si>
    <t>XD0025</t>
  </si>
  <si>
    <t>XD0026</t>
  </si>
  <si>
    <t>XD0027</t>
  </si>
  <si>
    <t>XD0028</t>
  </si>
  <si>
    <t>XD0029</t>
  </si>
  <si>
    <t>XD0030</t>
  </si>
  <si>
    <t>XD0031</t>
  </si>
  <si>
    <t>XD0032</t>
  </si>
  <si>
    <t>XD0033</t>
  </si>
  <si>
    <t>XD0034</t>
  </si>
  <si>
    <t>XD0035</t>
  </si>
  <si>
    <t>XD0036</t>
  </si>
  <si>
    <t>XD0037</t>
  </si>
  <si>
    <t>XD0038</t>
  </si>
  <si>
    <t>XD0039</t>
  </si>
  <si>
    <t>XD0040</t>
  </si>
  <si>
    <t>XD0041</t>
  </si>
  <si>
    <t>XD0042</t>
  </si>
  <si>
    <t>XD0043</t>
  </si>
  <si>
    <t>XD0044</t>
  </si>
  <si>
    <t>XD0045</t>
  </si>
  <si>
    <t>XD0046</t>
  </si>
  <si>
    <t>XD0047</t>
  </si>
  <si>
    <t>XD0048</t>
  </si>
  <si>
    <t>XD0049</t>
  </si>
  <si>
    <t>XD0050</t>
  </si>
  <si>
    <t>TỔNG DƯ NỢ CÁC CHƯƠNG TRÌNH TÍN DỤNG</t>
  </si>
  <si>
    <t>Số hộ là dân tộc thiểu số (hộ)</t>
  </si>
  <si>
    <t>Số hộ là dân tộc thiếu số điều kiện, có nhu cầu vay vốn phát sinh trong năm</t>
  </si>
  <si>
    <t>Số lao động có nhu cầu vay vốn tạo việc làm phát sinh trong năm (lao động)</t>
  </si>
  <si>
    <t>Số HSSV có nhu cầu vay vốn phát sinh trong năm (HSSV)</t>
  </si>
  <si>
    <r>
      <t>Độc l</t>
    </r>
    <r>
      <rPr>
        <b/>
        <u/>
        <sz val="14"/>
        <rFont val="Times New Roman"/>
        <family val="1"/>
      </rPr>
      <t xml:space="preserve">ập - Tự do - Hạnh </t>
    </r>
    <r>
      <rPr>
        <b/>
        <sz val="14"/>
        <rFont val="Times New Roman"/>
        <family val="1"/>
      </rPr>
      <t>phúc</t>
    </r>
  </si>
  <si>
    <t>X</t>
  </si>
  <si>
    <t>TỔNG DƯ NỢ NHẬP MẪU 01</t>
  </si>
  <si>
    <t>XD00000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</si>
</sst>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\-#,##0;;@"/>
    <numFmt numFmtId="165" formatCode="#,##0.00;\-#,##0.00;;@"/>
  </numFmts>
  <fonts count="18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i/>
      <sz val="10"/>
      <name val="Times New Roman"/>
      <family val="1"/>
    </font>
    <font>
      <sz val="11"/>
      <name val="Times New Roman"/>
      <family val="1"/>
    </font>
    <font>
      <sz val="12"/>
      <name val=".VnTime"/>
      <family val="2"/>
    </font>
    <font>
      <i/>
      <sz val="11"/>
      <name val="Times New Roman"/>
      <family val="1"/>
    </font>
    <font>
      <sz val="10"/>
      <name val="Arial"/>
      <family val="2"/>
      <charset val="163"/>
    </font>
    <font>
      <sz val="11"/>
      <color theme="1"/>
      <name val="Calibri"/>
      <family val="2"/>
      <scheme val="minor"/>
    </font>
    <font>
      <i/>
      <sz val="13"/>
      <name val="Times New Roman"/>
      <family val="1"/>
    </font>
    <font>
      <b/>
      <sz val="13"/>
      <name val="Times New Roman"/>
      <family val="1"/>
    </font>
    <font>
      <b/>
      <u/>
      <sz val="14"/>
      <name val="Times New Roman"/>
      <family val="1"/>
    </font>
    <font>
      <i/>
      <sz val="12"/>
      <color rgb="FFFF0000"/>
      <name val="Times New Roman"/>
      <family val="1"/>
    </font>
    <font>
      <sz val="1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</borders>
  <cellStyleXfs count="4">
    <xf numFmtId="0" fontId="0" fillId="0" borderId="0"/>
    <xf numFmtId="0" fontId="9" fillId="0" borderId="0"/>
    <xf numFmtId="0" fontId="11" fillId="0" borderId="0"/>
    <xf numFmtId="0" fontId="12" fillId="0" borderId="0"/>
  </cellStyleXfs>
  <cellXfs count="9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>
      <alignment vertical="center" wrapText="1"/>
    </xf>
    <xf numFmtId="0" fontId="2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164" fontId="1" fillId="2" borderId="9" xfId="3" quotePrefix="1" applyNumberFormat="1" applyFont="1" applyFill="1" applyBorder="1" applyAlignment="1">
      <alignment vertical="top" wrapText="1"/>
    </xf>
    <xf numFmtId="164" fontId="1" fillId="0" borderId="9" xfId="1" applyNumberFormat="1" applyFont="1" applyBorder="1" applyAlignment="1">
      <alignment horizontal="right" vertical="top" wrapText="1"/>
    </xf>
    <xf numFmtId="164" fontId="1" fillId="3" borderId="9" xfId="3" applyNumberFormat="1" applyFont="1" applyFill="1" applyBorder="1" applyAlignment="1">
      <alignment vertical="top" wrapText="1"/>
    </xf>
    <xf numFmtId="164" fontId="6" fillId="2" borderId="9" xfId="3" quotePrefix="1" applyNumberFormat="1" applyFont="1" applyFill="1" applyBorder="1" applyAlignment="1">
      <alignment vertical="top" wrapText="1"/>
    </xf>
    <xf numFmtId="164" fontId="6" fillId="3" borderId="9" xfId="3" applyNumberFormat="1" applyFont="1" applyFill="1" applyBorder="1" applyAlignment="1">
      <alignment vertical="top" wrapTex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4" fillId="0" borderId="9" xfId="3" applyFont="1" applyBorder="1" applyAlignment="1">
      <alignment horizontal="center" vertical="center" wrapText="1"/>
    </xf>
    <xf numFmtId="0" fontId="4" fillId="0" borderId="9" xfId="3" applyFont="1" applyBorder="1" applyAlignment="1">
      <alignment horizontal="center" vertical="center"/>
    </xf>
    <xf numFmtId="0" fontId="1" fillId="0" borderId="9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0" fontId="6" fillId="0" borderId="9" xfId="3" applyFont="1" applyBorder="1" applyAlignment="1">
      <alignment vertical="center" wrapText="1"/>
    </xf>
    <xf numFmtId="0" fontId="1" fillId="0" borderId="9" xfId="3" applyFont="1" applyBorder="1" applyAlignment="1">
      <alignment horizontal="center" vertical="center" wrapText="1"/>
    </xf>
    <xf numFmtId="0" fontId="1" fillId="0" borderId="10" xfId="3" applyFont="1" applyBorder="1" applyAlignment="1">
      <alignment horizontal="center" vertical="center"/>
    </xf>
    <xf numFmtId="0" fontId="3" fillId="0" borderId="9" xfId="3" applyFont="1" applyBorder="1" applyAlignment="1">
      <alignment vertical="center"/>
    </xf>
    <xf numFmtId="0" fontId="1" fillId="0" borderId="9" xfId="3" applyFont="1" applyBorder="1" applyAlignment="1">
      <alignment vertical="center"/>
    </xf>
    <xf numFmtId="0" fontId="1" fillId="0" borderId="9" xfId="3" applyFont="1" applyBorder="1" applyAlignment="1">
      <alignment horizontal="left" vertical="center"/>
    </xf>
    <xf numFmtId="0" fontId="1" fillId="0" borderId="9" xfId="3" applyFont="1" applyBorder="1" applyAlignment="1">
      <alignment vertical="center" wrapText="1"/>
    </xf>
    <xf numFmtId="0" fontId="6" fillId="0" borderId="9" xfId="2" applyFont="1" applyBorder="1" applyAlignment="1">
      <alignment vertical="center" wrapText="1"/>
    </xf>
    <xf numFmtId="0" fontId="1" fillId="0" borderId="9" xfId="2" applyFont="1" applyBorder="1" applyAlignment="1">
      <alignment vertical="center" wrapText="1"/>
    </xf>
    <xf numFmtId="0" fontId="4" fillId="0" borderId="9" xfId="3" applyFont="1" applyBorder="1" applyAlignment="1">
      <alignment vertical="center" wrapText="1"/>
    </xf>
    <xf numFmtId="0" fontId="1" fillId="0" borderId="9" xfId="3" quotePrefix="1" applyFont="1" applyBorder="1" applyAlignment="1">
      <alignment vertical="center"/>
    </xf>
    <xf numFmtId="0" fontId="4" fillId="0" borderId="9" xfId="3" applyFont="1" applyBorder="1" applyAlignment="1">
      <alignment vertical="center"/>
    </xf>
    <xf numFmtId="164" fontId="1" fillId="3" borderId="9" xfId="3" quotePrefix="1" applyNumberFormat="1" applyFont="1" applyFill="1" applyBorder="1" applyAlignment="1">
      <alignment vertical="top" wrapText="1"/>
    </xf>
    <xf numFmtId="164" fontId="6" fillId="3" borderId="9" xfId="1" applyNumberFormat="1" applyFont="1" applyFill="1" applyBorder="1" applyAlignment="1">
      <alignment horizontal="right" vertical="top" wrapText="1"/>
    </xf>
    <xf numFmtId="164" fontId="1" fillId="2" borderId="9" xfId="3" applyNumberFormat="1" applyFont="1" applyFill="1" applyBorder="1" applyAlignment="1">
      <alignment vertical="top" wrapText="1"/>
    </xf>
    <xf numFmtId="164" fontId="1" fillId="2" borderId="9" xfId="1" applyNumberFormat="1" applyFont="1" applyFill="1" applyBorder="1" applyAlignment="1">
      <alignment horizontal="right" vertical="top" wrapText="1"/>
    </xf>
    <xf numFmtId="0" fontId="7" fillId="0" borderId="5" xfId="0" applyFont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/>
    <xf numFmtId="0" fontId="5" fillId="0" borderId="0" xfId="0" applyFont="1" applyAlignment="1">
      <alignment vertical="center"/>
    </xf>
    <xf numFmtId="165" fontId="4" fillId="4" borderId="11" xfId="0" applyNumberFormat="1" applyFont="1" applyFill="1" applyBorder="1" applyAlignment="1">
      <alignment horizontal="left" vertical="center" wrapText="1"/>
    </xf>
    <xf numFmtId="165" fontId="1" fillId="4" borderId="11" xfId="0" applyNumberFormat="1" applyFont="1" applyFill="1" applyBorder="1" applyAlignment="1">
      <alignment horizontal="center" vertical="center" wrapText="1"/>
    </xf>
    <xf numFmtId="164" fontId="1" fillId="0" borderId="9" xfId="3" applyNumberFormat="1" applyFont="1" applyBorder="1" applyAlignment="1">
      <alignment vertical="top" wrapText="1"/>
    </xf>
    <xf numFmtId="164" fontId="1" fillId="0" borderId="9" xfId="3" applyNumberFormat="1" applyFont="1" applyBorder="1" applyAlignment="1">
      <alignment vertical="top"/>
    </xf>
    <xf numFmtId="164" fontId="6" fillId="0" borderId="9" xfId="1" applyNumberFormat="1" applyFont="1" applyBorder="1" applyAlignment="1">
      <alignment horizontal="right" vertical="top" wrapText="1"/>
    </xf>
    <xf numFmtId="164" fontId="16" fillId="0" borderId="9" xfId="1" applyNumberFormat="1" applyFont="1" applyBorder="1" applyAlignment="1">
      <alignment horizontal="right" vertical="top" wrapText="1"/>
    </xf>
    <xf numFmtId="164" fontId="16" fillId="2" borderId="9" xfId="3" quotePrefix="1" applyNumberFormat="1" applyFont="1" applyFill="1" applyBorder="1" applyAlignment="1">
      <alignment vertical="top" wrapText="1"/>
    </xf>
    <xf numFmtId="164" fontId="16" fillId="3" borderId="9" xfId="3" applyNumberFormat="1" applyFont="1" applyFill="1" applyBorder="1" applyAlignment="1">
      <alignment vertical="top" wrapText="1"/>
    </xf>
    <xf numFmtId="164" fontId="1" fillId="2" borderId="7" xfId="1" applyNumberFormat="1" applyFont="1" applyFill="1" applyBorder="1" applyAlignment="1">
      <alignment horizontal="right" vertical="top" wrapText="1"/>
    </xf>
    <xf numFmtId="164" fontId="6" fillId="2" borderId="7" xfId="1" applyNumberFormat="1" applyFont="1" applyFill="1" applyBorder="1" applyAlignment="1">
      <alignment horizontal="right" vertical="top" wrapText="1"/>
    </xf>
    <xf numFmtId="164" fontId="1" fillId="2" borderId="7" xfId="3" quotePrefix="1" applyNumberFormat="1" applyFont="1" applyFill="1" applyBorder="1" applyAlignment="1">
      <alignment vertical="top" wrapText="1"/>
    </xf>
    <xf numFmtId="164" fontId="1" fillId="2" borderId="7" xfId="3" applyNumberFormat="1" applyFont="1" applyFill="1" applyBorder="1" applyAlignment="1">
      <alignment vertical="top" wrapText="1"/>
    </xf>
    <xf numFmtId="164" fontId="17" fillId="0" borderId="9" xfId="0" applyNumberFormat="1" applyFont="1" applyBorder="1" applyAlignment="1" applyProtection="1">
      <alignment horizontal="right" vertical="center" wrapText="1"/>
      <protection locked="0"/>
    </xf>
    <xf numFmtId="0" fontId="4" fillId="0" borderId="1" xfId="3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6" fillId="0" borderId="1" xfId="3" applyFont="1" applyFill="1" applyBorder="1" applyAlignment="1">
      <alignment horizontal="center" vertical="center" wrapText="1"/>
    </xf>
    <xf numFmtId="0" fontId="4" fillId="0" borderId="2" xfId="3" applyFont="1" applyBorder="1" applyAlignment="1">
      <alignment horizontal="center" vertical="center" wrapText="1"/>
    </xf>
    <xf numFmtId="0" fontId="4" fillId="0" borderId="3" xfId="3" applyFont="1" applyBorder="1" applyAlignment="1">
      <alignment horizontal="center" vertical="center" wrapText="1"/>
    </xf>
    <xf numFmtId="0" fontId="4" fillId="0" borderId="4" xfId="3" applyFont="1" applyBorder="1" applyAlignment="1">
      <alignment horizontal="center" vertical="center" wrapText="1"/>
    </xf>
    <xf numFmtId="0" fontId="6" fillId="0" borderId="5" xfId="3" applyFont="1" applyFill="1" applyBorder="1" applyAlignment="1">
      <alignment horizontal="center" vertical="center" wrapText="1"/>
    </xf>
    <xf numFmtId="0" fontId="6" fillId="0" borderId="7" xfId="3" applyFont="1" applyFill="1" applyBorder="1" applyAlignment="1">
      <alignment horizontal="center" vertical="center" wrapText="1"/>
    </xf>
    <xf numFmtId="0" fontId="4" fillId="0" borderId="5" xfId="3" applyFont="1" applyFill="1" applyBorder="1" applyAlignment="1">
      <alignment horizontal="center" vertical="center" wrapText="1"/>
    </xf>
    <xf numFmtId="0" fontId="4" fillId="0" borderId="6" xfId="3" applyFont="1" applyFill="1" applyBorder="1" applyAlignment="1">
      <alignment horizontal="center" vertical="center" wrapText="1"/>
    </xf>
    <xf numFmtId="0" fontId="4" fillId="0" borderId="7" xfId="3" applyFont="1" applyFill="1" applyBorder="1" applyAlignment="1">
      <alignment horizontal="center" vertical="center" wrapText="1"/>
    </xf>
    <xf numFmtId="0" fontId="4" fillId="0" borderId="2" xfId="3" applyFont="1" applyFill="1" applyBorder="1" applyAlignment="1">
      <alignment horizontal="center" vertical="center" wrapText="1"/>
    </xf>
    <xf numFmtId="0" fontId="4" fillId="0" borderId="4" xfId="3" applyFont="1" applyFill="1" applyBorder="1" applyAlignment="1">
      <alignment horizontal="center" vertical="center" wrapText="1"/>
    </xf>
    <xf numFmtId="0" fontId="4" fillId="0" borderId="5" xfId="3" applyFont="1" applyBorder="1" applyAlignment="1">
      <alignment horizontal="center" vertical="center" wrapText="1"/>
    </xf>
    <xf numFmtId="0" fontId="4" fillId="0" borderId="6" xfId="3" applyFont="1" applyBorder="1" applyAlignment="1">
      <alignment horizontal="center" vertical="center" wrapText="1"/>
    </xf>
    <xf numFmtId="0" fontId="4" fillId="0" borderId="7" xfId="3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right" vertical="center"/>
    </xf>
  </cellXfs>
  <cellStyles count="4">
    <cellStyle name="Normal" xfId="0" builtinId="0"/>
    <cellStyle name="Normal 4" xfId="3"/>
    <cellStyle name="Normal 5" xfId="2"/>
    <cellStyle name="Normal_1a. Mau bieu Ke hoach hoa  949 ngay 08-6-2004" xfId="1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W67"/>
  <sheetViews>
    <sheetView tabSelected="1" zoomScale="68" zoomScaleNormal="68" workbookViewId="0">
      <pane ySplit="12" topLeftCell="A13" activePane="bottomLeft" state="frozen"/>
      <selection pane="bottomLeft" activeCell="E18" sqref="E18"/>
    </sheetView>
  </sheetViews>
  <sheetFormatPr defaultColWidth="9.109375" defaultRowHeight="15.6" x14ac:dyDescent="0.3"/>
  <cols>
    <col min="1" max="1" width="6.44140625" style="1" customWidth="1"/>
    <col min="2" max="2" width="12.44140625" style="1" customWidth="1"/>
    <col min="3" max="3" width="77.5546875" style="1" customWidth="1"/>
    <col min="4" max="6" width="13.77734375" style="1" customWidth="1"/>
    <col min="7" max="17" width="13.77734375" style="2" customWidth="1"/>
    <col min="18" max="18" width="13.6640625" style="2" customWidth="1"/>
    <col min="19" max="19" width="10.5546875" style="2" hidden="1" customWidth="1"/>
    <col min="20" max="20" width="11.44140625" style="2" hidden="1" customWidth="1"/>
    <col min="21" max="21" width="10.5546875" style="2" hidden="1" customWidth="1"/>
    <col min="22" max="22" width="9.109375" style="2" hidden="1" customWidth="1"/>
    <col min="23" max="16384" width="9.109375" style="2"/>
  </cols>
  <sheetData>
    <row r="1" spans="1:21" x14ac:dyDescent="0.3">
      <c r="J1" s="71" t="s">
        <v>0</v>
      </c>
      <c r="K1" s="71"/>
      <c r="L1" s="71"/>
      <c r="M1" s="71"/>
      <c r="N1" s="71"/>
      <c r="O1" s="71"/>
      <c r="P1" s="71"/>
      <c r="Q1" s="71"/>
      <c r="R1" s="71"/>
      <c r="S1" s="16"/>
      <c r="T1" s="16"/>
      <c r="U1" s="16"/>
    </row>
    <row r="2" spans="1:21" ht="19.95" customHeight="1" x14ac:dyDescent="0.3">
      <c r="A2" s="65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</row>
    <row r="3" spans="1:21" ht="19.95" customHeight="1" x14ac:dyDescent="0.3">
      <c r="A3" s="69"/>
      <c r="B3" s="69"/>
      <c r="C3" s="69"/>
      <c r="D3" s="48"/>
      <c r="E3" s="65" t="s">
        <v>99</v>
      </c>
      <c r="F3" s="65"/>
      <c r="G3" s="65"/>
      <c r="H3" s="65"/>
      <c r="I3" s="65"/>
      <c r="J3" s="65"/>
      <c r="K3" s="49"/>
      <c r="L3" s="49"/>
      <c r="M3" s="49"/>
      <c r="N3" s="49"/>
      <c r="O3" s="49"/>
      <c r="P3" s="49"/>
      <c r="Q3" s="49"/>
      <c r="R3" s="49"/>
      <c r="S3" s="12"/>
      <c r="T3" s="12"/>
      <c r="U3" s="12"/>
    </row>
    <row r="4" spans="1:21" ht="19.95" customHeight="1" x14ac:dyDescent="0.3">
      <c r="A4" s="50"/>
      <c r="B4" s="50"/>
      <c r="C4" s="50"/>
      <c r="D4" s="48"/>
      <c r="E4" s="50"/>
      <c r="F4" s="50"/>
      <c r="G4" s="50"/>
      <c r="H4" s="50"/>
      <c r="I4" s="50"/>
      <c r="J4" s="50"/>
      <c r="K4" s="49"/>
      <c r="L4" s="49"/>
      <c r="M4" s="49"/>
      <c r="N4" s="49"/>
      <c r="O4" s="49"/>
      <c r="P4" s="49"/>
      <c r="Q4" s="49"/>
      <c r="R4" s="49"/>
      <c r="S4" s="13"/>
      <c r="T4" s="13"/>
      <c r="U4" s="13"/>
    </row>
    <row r="5" spans="1:21" ht="19.95" customHeight="1" x14ac:dyDescent="0.3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</row>
    <row r="6" spans="1:21" ht="19.95" customHeight="1" x14ac:dyDescent="0.3">
      <c r="A6" s="72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14"/>
      <c r="T6" s="14"/>
      <c r="U6" s="14"/>
    </row>
    <row r="7" spans="1:21" ht="23.25" customHeight="1" x14ac:dyDescent="0.3">
      <c r="J7" s="89" t="s">
        <v>2</v>
      </c>
      <c r="K7" s="89"/>
      <c r="L7" s="89"/>
      <c r="M7" s="89"/>
      <c r="N7" s="89"/>
      <c r="O7" s="89"/>
      <c r="P7" s="89"/>
      <c r="Q7" s="89"/>
      <c r="R7" s="89"/>
    </row>
    <row r="8" spans="1:21" ht="33.75" customHeight="1" x14ac:dyDescent="0.3">
      <c r="A8" s="70" t="s">
        <v>3</v>
      </c>
      <c r="B8" s="66" t="s">
        <v>8</v>
      </c>
      <c r="C8" s="64" t="s">
        <v>4</v>
      </c>
      <c r="D8" s="64"/>
      <c r="E8" s="64"/>
      <c r="F8" s="64"/>
      <c r="G8" s="64"/>
      <c r="H8" s="64"/>
      <c r="I8" s="64"/>
      <c r="J8" s="64"/>
      <c r="K8" s="75"/>
      <c r="L8" s="76"/>
      <c r="M8" s="77"/>
      <c r="N8" s="75"/>
      <c r="O8" s="76"/>
      <c r="P8" s="76"/>
      <c r="Q8" s="76"/>
      <c r="R8" s="77"/>
      <c r="S8" s="15"/>
      <c r="T8" s="15"/>
      <c r="U8" s="15"/>
    </row>
    <row r="9" spans="1:21" ht="32.25" customHeight="1" x14ac:dyDescent="0.3">
      <c r="A9" s="70"/>
      <c r="B9" s="67"/>
      <c r="C9" s="64"/>
      <c r="D9" s="64"/>
      <c r="E9" s="85" t="s">
        <v>5</v>
      </c>
      <c r="F9" s="83"/>
      <c r="G9" s="84"/>
      <c r="H9" s="80" t="s">
        <v>5</v>
      </c>
      <c r="I9" s="83"/>
      <c r="J9" s="84"/>
      <c r="K9" s="80" t="s">
        <v>5</v>
      </c>
      <c r="L9" s="83"/>
      <c r="M9" s="84"/>
      <c r="N9" s="80" t="s">
        <v>5</v>
      </c>
      <c r="O9" s="83"/>
      <c r="P9" s="84"/>
      <c r="Q9" s="83"/>
      <c r="R9" s="84"/>
      <c r="S9" s="10"/>
      <c r="T9" s="10"/>
      <c r="U9" s="10"/>
    </row>
    <row r="10" spans="1:21" ht="17.25" customHeight="1" x14ac:dyDescent="0.3">
      <c r="A10" s="70"/>
      <c r="B10" s="67"/>
      <c r="C10" s="64"/>
      <c r="D10" s="64"/>
      <c r="E10" s="86"/>
      <c r="F10" s="74" t="s">
        <v>6</v>
      </c>
      <c r="G10" s="74" t="s">
        <v>7</v>
      </c>
      <c r="H10" s="81"/>
      <c r="I10" s="74" t="s">
        <v>6</v>
      </c>
      <c r="J10" s="74" t="s">
        <v>7</v>
      </c>
      <c r="K10" s="81"/>
      <c r="L10" s="78" t="s">
        <v>6</v>
      </c>
      <c r="M10" s="78" t="s">
        <v>7</v>
      </c>
      <c r="N10" s="81"/>
      <c r="O10" s="74" t="s">
        <v>6</v>
      </c>
      <c r="P10" s="74" t="s">
        <v>7</v>
      </c>
      <c r="Q10" s="74" t="s">
        <v>6</v>
      </c>
      <c r="R10" s="74" t="s">
        <v>7</v>
      </c>
      <c r="S10" s="11"/>
      <c r="T10" s="11"/>
      <c r="U10" s="11"/>
    </row>
    <row r="11" spans="1:21" ht="60" customHeight="1" x14ac:dyDescent="0.3">
      <c r="A11" s="70"/>
      <c r="B11" s="68"/>
      <c r="C11" s="64"/>
      <c r="D11" s="64"/>
      <c r="E11" s="87"/>
      <c r="F11" s="74"/>
      <c r="G11" s="74"/>
      <c r="H11" s="82"/>
      <c r="I11" s="74"/>
      <c r="J11" s="74"/>
      <c r="K11" s="82"/>
      <c r="L11" s="79"/>
      <c r="M11" s="79"/>
      <c r="N11" s="82"/>
      <c r="O11" s="74"/>
      <c r="P11" s="74"/>
      <c r="Q11" s="74"/>
      <c r="R11" s="74"/>
      <c r="S11" s="10"/>
      <c r="T11" s="10"/>
      <c r="U11" s="10"/>
    </row>
    <row r="12" spans="1:21" ht="15" customHeight="1" x14ac:dyDescent="0.3">
      <c r="A12" s="3">
        <v>1</v>
      </c>
      <c r="B12" s="3">
        <v>2</v>
      </c>
      <c r="C12" s="3">
        <v>3</v>
      </c>
      <c r="D12" s="3">
        <v>4</v>
      </c>
      <c r="E12" s="3">
        <v>5</v>
      </c>
      <c r="F12" s="47">
        <v>6</v>
      </c>
      <c r="G12" s="47">
        <v>7</v>
      </c>
      <c r="H12" s="3">
        <v>8</v>
      </c>
      <c r="I12" s="3">
        <v>9</v>
      </c>
      <c r="J12" s="3">
        <v>10</v>
      </c>
      <c r="K12" s="3">
        <v>11</v>
      </c>
      <c r="L12" s="3">
        <v>12</v>
      </c>
      <c r="M12" s="3">
        <v>13</v>
      </c>
      <c r="N12" s="3">
        <v>14</v>
      </c>
      <c r="O12" s="3">
        <v>15</v>
      </c>
      <c r="P12" s="3">
        <v>16</v>
      </c>
      <c r="Q12" s="3">
        <v>17</v>
      </c>
      <c r="R12" s="3">
        <v>18</v>
      </c>
    </row>
    <row r="13" spans="1:21" x14ac:dyDescent="0.3">
      <c r="A13" s="27" t="s">
        <v>9</v>
      </c>
      <c r="B13" s="21" t="s">
        <v>10</v>
      </c>
      <c r="C13" s="28" t="s">
        <v>94</v>
      </c>
      <c r="D13" s="46">
        <f>D14+D34</f>
        <v>0</v>
      </c>
      <c r="E13" s="46">
        <f>E14+E34</f>
        <v>0</v>
      </c>
      <c r="F13" s="20" t="str">
        <f t="shared" ref="F13:F62" si="0">IF(OR(D13&lt;&gt;0,E13&lt;&gt;0),E13-D13,"")</f>
        <v/>
      </c>
      <c r="G13" s="20" t="str">
        <f t="shared" ref="G13:G62" si="1">IF(OR(ISBLANK(F13), F13="",AND(D13=0,F13=0)), "", IF(AND(D13=0, F13&gt;0), 100, IF(AND(D13&gt;0, F13=0), 0, ROUND((F13/D13)*100, 3))))</f>
        <v/>
      </c>
      <c r="H13" s="46">
        <f>H14+H34</f>
        <v>0</v>
      </c>
      <c r="I13" s="20" t="str">
        <f t="shared" ref="I13:I62" si="2">IF(OR(E13&lt;&gt;0,H13&lt;&gt;0),H13-E13,"")</f>
        <v/>
      </c>
      <c r="J13" s="20" t="str">
        <f t="shared" ref="J13:J62" si="3">IF(OR(ISBLANK(I13), I13="",AND(E13=0,I13=0)), "", IF(AND(E13=0, I13&gt;0), 100, IF(AND(E13&gt;0, I13=0), 0, ROUND((I13/E13)*100, 3))))</f>
        <v/>
      </c>
      <c r="K13" s="46">
        <f>K14+K34</f>
        <v>0</v>
      </c>
      <c r="L13" s="20" t="str">
        <f t="shared" ref="L13:L62" si="4">IF(OR(H13&lt;&gt;0,K13&lt;&gt;0),K13-H13,"")</f>
        <v/>
      </c>
      <c r="M13" s="20" t="str">
        <f t="shared" ref="M13:M62" si="5">IF(OR(ISBLANK(L13), L13="",AND(H13=0,L13=0)), "", IF(AND(H13=0, L13&gt;0), 100, IF(AND(H13&gt;0, L13=0), 0, ROUND((L13/H13)*100, 3))))</f>
        <v/>
      </c>
      <c r="N13" s="46">
        <f>N14+N34</f>
        <v>0</v>
      </c>
      <c r="O13" s="20" t="str">
        <f t="shared" ref="O13:O62" si="6">IF(OR(K13&lt;&gt;0,N13&lt;&gt;0),N13-K13,"")</f>
        <v/>
      </c>
      <c r="P13" s="20" t="str">
        <f t="shared" ref="P13:P62" si="7">IF(OR(ISBLANK(O13), O13="",AND(K13=0,O13=0)), "", IF(AND(K13=0, O13&gt;0), 100, IF(AND(K13&gt;0, O13=0), 0, ROUND((O13/K13)*100, 3))))</f>
        <v/>
      </c>
      <c r="Q13" s="20" t="str">
        <f t="shared" ref="Q13:Q62" si="8">IF(OR(N13&lt;&gt;0,D13&lt;&gt;0),N13-D13,"")</f>
        <v/>
      </c>
      <c r="R13" s="20" t="str">
        <f t="shared" ref="R13:R62" si="9">IF(OR(ISBLANK(Q13), Q13="",AND(D13=0,Q13=0)), "", IF(AND(D13=0, Q13&gt;0), 100, IF(AND(D13&gt;0, Q13=0), 0, ROUND((Q13/D13)*100, 3))))</f>
        <v/>
      </c>
    </row>
    <row r="14" spans="1:21" s="1" customFormat="1" x14ac:dyDescent="0.3">
      <c r="A14" s="28" t="s">
        <v>11</v>
      </c>
      <c r="B14" s="21" t="s">
        <v>12</v>
      </c>
      <c r="C14" s="34" t="s">
        <v>22</v>
      </c>
      <c r="D14" s="46">
        <f t="shared" ref="D14:E14" si="10">SUM(D15:D33)-D19-D24-D28-D31</f>
        <v>0</v>
      </c>
      <c r="E14" s="46">
        <f t="shared" si="10"/>
        <v>0</v>
      </c>
      <c r="F14" s="20" t="str">
        <f t="shared" si="0"/>
        <v/>
      </c>
      <c r="G14" s="20" t="str">
        <f t="shared" si="1"/>
        <v/>
      </c>
      <c r="H14" s="46">
        <f>SUM(H15:H33)-H19-H24-H28-H31</f>
        <v>0</v>
      </c>
      <c r="I14" s="20" t="str">
        <f t="shared" si="2"/>
        <v/>
      </c>
      <c r="J14" s="20" t="str">
        <f t="shared" si="3"/>
        <v/>
      </c>
      <c r="K14" s="46">
        <f>SUM(K15:K33)-K19-K24-K28-K31</f>
        <v>0</v>
      </c>
      <c r="L14" s="20" t="str">
        <f t="shared" si="4"/>
        <v/>
      </c>
      <c r="M14" s="20" t="str">
        <f t="shared" si="5"/>
        <v/>
      </c>
      <c r="N14" s="46">
        <f>SUM(N15:N33)-N19-N24-N28-N31</f>
        <v>0</v>
      </c>
      <c r="O14" s="20" t="str">
        <f t="shared" si="6"/>
        <v/>
      </c>
      <c r="P14" s="20" t="str">
        <f t="shared" si="7"/>
        <v/>
      </c>
      <c r="Q14" s="20" t="str">
        <f t="shared" si="8"/>
        <v/>
      </c>
      <c r="R14" s="20" t="str">
        <f t="shared" si="9"/>
        <v/>
      </c>
      <c r="S14" s="2"/>
      <c r="T14" s="2"/>
      <c r="U14" s="2"/>
    </row>
    <row r="15" spans="1:21" s="1" customFormat="1" x14ac:dyDescent="0.3">
      <c r="A15" s="29">
        <v>1</v>
      </c>
      <c r="B15" s="21" t="s">
        <v>13</v>
      </c>
      <c r="C15" s="35" t="s">
        <v>23</v>
      </c>
      <c r="D15" s="54"/>
      <c r="E15" s="63">
        <f>S15-E35</f>
        <v>0</v>
      </c>
      <c r="F15" s="20" t="str">
        <f t="shared" si="0"/>
        <v/>
      </c>
      <c r="G15" s="20" t="str">
        <f t="shared" si="1"/>
        <v/>
      </c>
      <c r="H15" s="63">
        <f>T15-H35</f>
        <v>0</v>
      </c>
      <c r="I15" s="20" t="str">
        <f t="shared" si="2"/>
        <v/>
      </c>
      <c r="J15" s="20" t="str">
        <f t="shared" si="3"/>
        <v/>
      </c>
      <c r="K15" s="63">
        <f>U15-K35</f>
        <v>0</v>
      </c>
      <c r="L15" s="20" t="str">
        <f t="shared" si="4"/>
        <v/>
      </c>
      <c r="M15" s="20" t="str">
        <f t="shared" si="5"/>
        <v/>
      </c>
      <c r="N15" s="63">
        <f>V15-N35</f>
        <v>0</v>
      </c>
      <c r="O15" s="20" t="str">
        <f t="shared" si="6"/>
        <v/>
      </c>
      <c r="P15" s="20" t="str">
        <f t="shared" si="7"/>
        <v/>
      </c>
      <c r="Q15" s="20" t="str">
        <f t="shared" si="8"/>
        <v/>
      </c>
      <c r="R15" s="20" t="str">
        <f t="shared" si="9"/>
        <v/>
      </c>
      <c r="S15" s="2"/>
      <c r="T15" s="2"/>
      <c r="U15" s="2"/>
    </row>
    <row r="16" spans="1:21" s="4" customFormat="1" x14ac:dyDescent="0.3">
      <c r="A16" s="29">
        <v>2</v>
      </c>
      <c r="B16" s="21" t="s">
        <v>14</v>
      </c>
      <c r="C16" s="36" t="s">
        <v>24</v>
      </c>
      <c r="D16" s="54"/>
      <c r="E16" s="63">
        <f>S16-E36</f>
        <v>0</v>
      </c>
      <c r="F16" s="20" t="str">
        <f t="shared" si="0"/>
        <v/>
      </c>
      <c r="G16" s="20" t="str">
        <f t="shared" si="1"/>
        <v/>
      </c>
      <c r="H16" s="63">
        <f t="shared" ref="H16:H18" si="11">T16-H36</f>
        <v>0</v>
      </c>
      <c r="I16" s="20" t="str">
        <f t="shared" si="2"/>
        <v/>
      </c>
      <c r="J16" s="20" t="str">
        <f t="shared" si="3"/>
        <v/>
      </c>
      <c r="K16" s="63">
        <f>U16-K36</f>
        <v>0</v>
      </c>
      <c r="L16" s="20" t="str">
        <f t="shared" si="4"/>
        <v/>
      </c>
      <c r="M16" s="20" t="str">
        <f t="shared" si="5"/>
        <v/>
      </c>
      <c r="N16" s="63">
        <f t="shared" ref="N16:N18" si="12">V16-N36</f>
        <v>0</v>
      </c>
      <c r="O16" s="20" t="str">
        <f t="shared" si="6"/>
        <v/>
      </c>
      <c r="P16" s="20" t="str">
        <f t="shared" si="7"/>
        <v/>
      </c>
      <c r="Q16" s="20" t="str">
        <f t="shared" si="8"/>
        <v/>
      </c>
      <c r="R16" s="20" t="str">
        <f t="shared" si="9"/>
        <v/>
      </c>
      <c r="S16" s="2"/>
      <c r="T16" s="2"/>
      <c r="U16" s="2"/>
    </row>
    <row r="17" spans="1:21" s="4" customFormat="1" x14ac:dyDescent="0.3">
      <c r="A17" s="29">
        <v>3</v>
      </c>
      <c r="B17" s="21" t="s">
        <v>15</v>
      </c>
      <c r="C17" s="37" t="s">
        <v>25</v>
      </c>
      <c r="D17" s="54"/>
      <c r="E17" s="63">
        <f t="shared" ref="E17:E18" si="13">S17-E37</f>
        <v>0</v>
      </c>
      <c r="F17" s="20" t="str">
        <f t="shared" si="0"/>
        <v/>
      </c>
      <c r="G17" s="20" t="str">
        <f t="shared" si="1"/>
        <v/>
      </c>
      <c r="H17" s="63">
        <f t="shared" si="11"/>
        <v>0</v>
      </c>
      <c r="I17" s="20" t="str">
        <f t="shared" si="2"/>
        <v/>
      </c>
      <c r="J17" s="20" t="str">
        <f t="shared" si="3"/>
        <v/>
      </c>
      <c r="K17" s="63">
        <f>U17-K37</f>
        <v>0</v>
      </c>
      <c r="L17" s="20" t="str">
        <f t="shared" si="4"/>
        <v/>
      </c>
      <c r="M17" s="20" t="str">
        <f t="shared" si="5"/>
        <v/>
      </c>
      <c r="N17" s="63">
        <f t="shared" si="12"/>
        <v>0</v>
      </c>
      <c r="O17" s="20" t="str">
        <f t="shared" si="6"/>
        <v/>
      </c>
      <c r="P17" s="20" t="str">
        <f t="shared" si="7"/>
        <v/>
      </c>
      <c r="Q17" s="20" t="str">
        <f t="shared" si="8"/>
        <v/>
      </c>
      <c r="R17" s="20" t="str">
        <f t="shared" si="9"/>
        <v/>
      </c>
      <c r="S17" s="2"/>
      <c r="T17" s="2"/>
      <c r="U17" s="2"/>
    </row>
    <row r="18" spans="1:21" s="5" customFormat="1" x14ac:dyDescent="0.3">
      <c r="A18" s="29">
        <v>4</v>
      </c>
      <c r="B18" s="21" t="s">
        <v>16</v>
      </c>
      <c r="C18" s="37" t="s">
        <v>26</v>
      </c>
      <c r="D18" s="54"/>
      <c r="E18" s="63">
        <f t="shared" si="13"/>
        <v>0</v>
      </c>
      <c r="F18" s="20" t="str">
        <f t="shared" si="0"/>
        <v/>
      </c>
      <c r="G18" s="20" t="str">
        <f t="shared" si="1"/>
        <v/>
      </c>
      <c r="H18" s="63">
        <f t="shared" si="11"/>
        <v>0</v>
      </c>
      <c r="I18" s="20" t="str">
        <f t="shared" si="2"/>
        <v/>
      </c>
      <c r="J18" s="20" t="str">
        <f t="shared" si="3"/>
        <v/>
      </c>
      <c r="K18" s="63">
        <f>U18-K38</f>
        <v>0</v>
      </c>
      <c r="L18" s="20" t="str">
        <f t="shared" si="4"/>
        <v/>
      </c>
      <c r="M18" s="20" t="str">
        <f t="shared" si="5"/>
        <v/>
      </c>
      <c r="N18" s="63">
        <f t="shared" si="12"/>
        <v>0</v>
      </c>
      <c r="O18" s="20" t="str">
        <f t="shared" si="6"/>
        <v/>
      </c>
      <c r="P18" s="20" t="str">
        <f t="shared" si="7"/>
        <v/>
      </c>
      <c r="Q18" s="20" t="str">
        <f t="shared" si="8"/>
        <v/>
      </c>
      <c r="R18" s="20" t="str">
        <f t="shared" si="9"/>
        <v/>
      </c>
      <c r="S18" s="2"/>
      <c r="T18" s="2"/>
      <c r="U18" s="2"/>
    </row>
    <row r="19" spans="1:21" s="5" customFormat="1" x14ac:dyDescent="0.3">
      <c r="A19" s="30" t="s">
        <v>52</v>
      </c>
      <c r="B19" s="21" t="s">
        <v>18</v>
      </c>
      <c r="C19" s="38" t="s">
        <v>27</v>
      </c>
      <c r="D19" s="54"/>
      <c r="E19" s="63"/>
      <c r="F19" s="23" t="str">
        <f t="shared" si="0"/>
        <v/>
      </c>
      <c r="G19" s="23" t="str">
        <f t="shared" si="1"/>
        <v/>
      </c>
      <c r="H19" s="63"/>
      <c r="I19" s="23" t="str">
        <f t="shared" si="2"/>
        <v/>
      </c>
      <c r="J19" s="23" t="str">
        <f t="shared" si="3"/>
        <v/>
      </c>
      <c r="K19" s="63"/>
      <c r="L19" s="23" t="str">
        <f t="shared" si="4"/>
        <v/>
      </c>
      <c r="M19" s="23" t="str">
        <f t="shared" si="5"/>
        <v/>
      </c>
      <c r="N19" s="63"/>
      <c r="O19" s="23" t="str">
        <f t="shared" si="6"/>
        <v/>
      </c>
      <c r="P19" s="23" t="str">
        <f t="shared" si="7"/>
        <v/>
      </c>
      <c r="Q19" s="23" t="str">
        <f t="shared" si="8"/>
        <v/>
      </c>
      <c r="R19" s="23" t="str">
        <f t="shared" si="9"/>
        <v/>
      </c>
      <c r="S19" s="2"/>
      <c r="T19" s="2"/>
      <c r="U19" s="2"/>
    </row>
    <row r="20" spans="1:21" s="5" customFormat="1" x14ac:dyDescent="0.3">
      <c r="A20" s="29">
        <v>5</v>
      </c>
      <c r="B20" s="21" t="s">
        <v>20</v>
      </c>
      <c r="C20" s="39" t="s">
        <v>28</v>
      </c>
      <c r="D20" s="54"/>
      <c r="E20" s="63">
        <f>S20-E39</f>
        <v>0</v>
      </c>
      <c r="F20" s="20" t="str">
        <f t="shared" si="0"/>
        <v/>
      </c>
      <c r="G20" s="20" t="str">
        <f t="shared" si="1"/>
        <v/>
      </c>
      <c r="H20" s="63">
        <f>T20-H39</f>
        <v>0</v>
      </c>
      <c r="I20" s="20" t="str">
        <f t="shared" si="2"/>
        <v/>
      </c>
      <c r="J20" s="20" t="str">
        <f t="shared" si="3"/>
        <v/>
      </c>
      <c r="K20" s="63">
        <f>U20-K39</f>
        <v>0</v>
      </c>
      <c r="L20" s="20" t="str">
        <f t="shared" si="4"/>
        <v/>
      </c>
      <c r="M20" s="20" t="str">
        <f t="shared" si="5"/>
        <v/>
      </c>
      <c r="N20" s="63">
        <f>V20-N39</f>
        <v>0</v>
      </c>
      <c r="O20" s="20" t="str">
        <f t="shared" si="6"/>
        <v/>
      </c>
      <c r="P20" s="20" t="str">
        <f t="shared" si="7"/>
        <v/>
      </c>
      <c r="Q20" s="20" t="str">
        <f t="shared" si="8"/>
        <v/>
      </c>
      <c r="R20" s="20" t="str">
        <f t="shared" si="9"/>
        <v/>
      </c>
      <c r="S20" s="2"/>
      <c r="T20" s="2"/>
      <c r="U20" s="2"/>
    </row>
    <row r="21" spans="1:21" x14ac:dyDescent="0.3">
      <c r="A21" s="29">
        <v>6</v>
      </c>
      <c r="B21" s="21" t="s">
        <v>21</v>
      </c>
      <c r="C21" s="37" t="s">
        <v>29</v>
      </c>
      <c r="D21" s="54"/>
      <c r="E21" s="63">
        <f>S21-E40</f>
        <v>0</v>
      </c>
      <c r="F21" s="20" t="str">
        <f t="shared" si="0"/>
        <v/>
      </c>
      <c r="G21" s="20" t="str">
        <f t="shared" si="1"/>
        <v/>
      </c>
      <c r="H21" s="63">
        <f>T21-H40</f>
        <v>0</v>
      </c>
      <c r="I21" s="20" t="str">
        <f t="shared" si="2"/>
        <v/>
      </c>
      <c r="J21" s="20" t="str">
        <f t="shared" si="3"/>
        <v/>
      </c>
      <c r="K21" s="63">
        <f>U21-K40</f>
        <v>0</v>
      </c>
      <c r="L21" s="20" t="str">
        <f t="shared" si="4"/>
        <v/>
      </c>
      <c r="M21" s="20" t="str">
        <f t="shared" si="5"/>
        <v/>
      </c>
      <c r="N21" s="63">
        <f>V21-N40</f>
        <v>0</v>
      </c>
      <c r="O21" s="20" t="str">
        <f t="shared" si="6"/>
        <v/>
      </c>
      <c r="P21" s="20" t="str">
        <f t="shared" si="7"/>
        <v/>
      </c>
      <c r="Q21" s="20" t="str">
        <f t="shared" si="8"/>
        <v/>
      </c>
      <c r="R21" s="20" t="str">
        <f t="shared" si="9"/>
        <v/>
      </c>
    </row>
    <row r="22" spans="1:21" x14ac:dyDescent="0.3">
      <c r="A22" s="29">
        <v>7</v>
      </c>
      <c r="B22" s="21" t="s">
        <v>53</v>
      </c>
      <c r="C22" s="37" t="s">
        <v>30</v>
      </c>
      <c r="D22" s="54"/>
      <c r="E22" s="63"/>
      <c r="F22" s="20" t="str">
        <f t="shared" si="0"/>
        <v/>
      </c>
      <c r="G22" s="20" t="str">
        <f t="shared" si="1"/>
        <v/>
      </c>
      <c r="H22" s="63"/>
      <c r="I22" s="20" t="str">
        <f t="shared" si="2"/>
        <v/>
      </c>
      <c r="J22" s="20" t="str">
        <f t="shared" si="3"/>
        <v/>
      </c>
      <c r="K22" s="63"/>
      <c r="L22" s="20" t="str">
        <f t="shared" si="4"/>
        <v/>
      </c>
      <c r="M22" s="20" t="str">
        <f t="shared" si="5"/>
        <v/>
      </c>
      <c r="N22" s="63"/>
      <c r="O22" s="20" t="str">
        <f t="shared" si="6"/>
        <v/>
      </c>
      <c r="P22" s="20" t="str">
        <f t="shared" si="7"/>
        <v/>
      </c>
      <c r="Q22" s="20" t="str">
        <f t="shared" si="8"/>
        <v/>
      </c>
      <c r="R22" s="20" t="str">
        <f t="shared" si="9"/>
        <v/>
      </c>
    </row>
    <row r="23" spans="1:21" x14ac:dyDescent="0.3">
      <c r="A23" s="29">
        <v>8</v>
      </c>
      <c r="B23" s="21" t="s">
        <v>54</v>
      </c>
      <c r="C23" s="37" t="s">
        <v>31</v>
      </c>
      <c r="D23" s="54"/>
      <c r="E23" s="63">
        <f>S23-E41</f>
        <v>0</v>
      </c>
      <c r="F23" s="20" t="str">
        <f t="shared" si="0"/>
        <v/>
      </c>
      <c r="G23" s="20" t="str">
        <f t="shared" si="1"/>
        <v/>
      </c>
      <c r="H23" s="63">
        <f>T23-H41</f>
        <v>0</v>
      </c>
      <c r="I23" s="20" t="str">
        <f t="shared" si="2"/>
        <v/>
      </c>
      <c r="J23" s="20" t="str">
        <f t="shared" si="3"/>
        <v/>
      </c>
      <c r="K23" s="63">
        <f>U23-K41</f>
        <v>0</v>
      </c>
      <c r="L23" s="20" t="str">
        <f t="shared" si="4"/>
        <v/>
      </c>
      <c r="M23" s="20" t="str">
        <f t="shared" si="5"/>
        <v/>
      </c>
      <c r="N23" s="63">
        <f>V23-N41</f>
        <v>0</v>
      </c>
      <c r="O23" s="20" t="str">
        <f t="shared" si="6"/>
        <v/>
      </c>
      <c r="P23" s="20" t="str">
        <f t="shared" si="7"/>
        <v/>
      </c>
      <c r="Q23" s="20" t="str">
        <f t="shared" si="8"/>
        <v/>
      </c>
      <c r="R23" s="20" t="str">
        <f t="shared" si="9"/>
        <v/>
      </c>
    </row>
    <row r="24" spans="1:21" s="1" customFormat="1" x14ac:dyDescent="0.3">
      <c r="A24" s="30" t="s">
        <v>52</v>
      </c>
      <c r="B24" s="21" t="s">
        <v>55</v>
      </c>
      <c r="C24" s="31" t="s">
        <v>27</v>
      </c>
      <c r="D24" s="54"/>
      <c r="E24" s="63"/>
      <c r="F24" s="23" t="str">
        <f t="shared" si="0"/>
        <v/>
      </c>
      <c r="G24" s="23" t="str">
        <f t="shared" si="1"/>
        <v/>
      </c>
      <c r="H24" s="63"/>
      <c r="I24" s="23" t="str">
        <f t="shared" si="2"/>
        <v/>
      </c>
      <c r="J24" s="23" t="str">
        <f t="shared" si="3"/>
        <v/>
      </c>
      <c r="K24" s="63"/>
      <c r="L24" s="23" t="str">
        <f t="shared" si="4"/>
        <v/>
      </c>
      <c r="M24" s="23" t="str">
        <f t="shared" si="5"/>
        <v/>
      </c>
      <c r="N24" s="63"/>
      <c r="O24" s="23" t="str">
        <f t="shared" si="6"/>
        <v/>
      </c>
      <c r="P24" s="23" t="str">
        <f t="shared" si="7"/>
        <v/>
      </c>
      <c r="Q24" s="23" t="str">
        <f t="shared" si="8"/>
        <v/>
      </c>
      <c r="R24" s="23" t="str">
        <f t="shared" si="9"/>
        <v/>
      </c>
      <c r="S24" s="2"/>
      <c r="T24" s="2"/>
      <c r="U24" s="2"/>
    </row>
    <row r="25" spans="1:21" s="4" customFormat="1" x14ac:dyDescent="0.3">
      <c r="A25" s="29">
        <v>9</v>
      </c>
      <c r="B25" s="21" t="s">
        <v>56</v>
      </c>
      <c r="C25" s="37" t="s">
        <v>32</v>
      </c>
      <c r="D25" s="54"/>
      <c r="E25" s="63">
        <f t="shared" ref="E25:E30" si="14">S25-E42</f>
        <v>0</v>
      </c>
      <c r="F25" s="20" t="str">
        <f t="shared" si="0"/>
        <v/>
      </c>
      <c r="G25" s="20" t="str">
        <f t="shared" si="1"/>
        <v/>
      </c>
      <c r="H25" s="63">
        <f t="shared" ref="H25:H30" si="15">T25-H42</f>
        <v>0</v>
      </c>
      <c r="I25" s="20" t="str">
        <f t="shared" si="2"/>
        <v/>
      </c>
      <c r="J25" s="20" t="str">
        <f t="shared" si="3"/>
        <v/>
      </c>
      <c r="K25" s="63">
        <f t="shared" ref="K25:K30" si="16">U25-K42</f>
        <v>0</v>
      </c>
      <c r="L25" s="20" t="str">
        <f t="shared" si="4"/>
        <v/>
      </c>
      <c r="M25" s="20" t="str">
        <f t="shared" si="5"/>
        <v/>
      </c>
      <c r="N25" s="63">
        <f t="shared" ref="N25:N30" si="17">V25-N42</f>
        <v>0</v>
      </c>
      <c r="O25" s="20" t="str">
        <f t="shared" si="6"/>
        <v/>
      </c>
      <c r="P25" s="20" t="str">
        <f t="shared" si="7"/>
        <v/>
      </c>
      <c r="Q25" s="20" t="str">
        <f t="shared" si="8"/>
        <v/>
      </c>
      <c r="R25" s="20" t="str">
        <f t="shared" si="9"/>
        <v/>
      </c>
      <c r="S25" s="2"/>
      <c r="T25" s="2"/>
      <c r="U25" s="2"/>
    </row>
    <row r="26" spans="1:21" x14ac:dyDescent="0.3">
      <c r="A26" s="29">
        <v>10</v>
      </c>
      <c r="B26" s="21" t="s">
        <v>57</v>
      </c>
      <c r="C26" s="39" t="s">
        <v>33</v>
      </c>
      <c r="D26" s="54"/>
      <c r="E26" s="63">
        <f t="shared" si="14"/>
        <v>0</v>
      </c>
      <c r="F26" s="20" t="str">
        <f t="shared" si="0"/>
        <v/>
      </c>
      <c r="G26" s="20" t="str">
        <f t="shared" si="1"/>
        <v/>
      </c>
      <c r="H26" s="63">
        <f t="shared" si="15"/>
        <v>0</v>
      </c>
      <c r="I26" s="20" t="str">
        <f t="shared" si="2"/>
        <v/>
      </c>
      <c r="J26" s="20" t="str">
        <f t="shared" si="3"/>
        <v/>
      </c>
      <c r="K26" s="63">
        <f t="shared" si="16"/>
        <v>0</v>
      </c>
      <c r="L26" s="20" t="str">
        <f t="shared" si="4"/>
        <v/>
      </c>
      <c r="M26" s="20" t="str">
        <f t="shared" si="5"/>
        <v/>
      </c>
      <c r="N26" s="63">
        <f t="shared" si="17"/>
        <v>0</v>
      </c>
      <c r="O26" s="20" t="str">
        <f t="shared" si="6"/>
        <v/>
      </c>
      <c r="P26" s="20" t="str">
        <f t="shared" si="7"/>
        <v/>
      </c>
      <c r="Q26" s="20" t="str">
        <f t="shared" si="8"/>
        <v/>
      </c>
      <c r="R26" s="20" t="str">
        <f t="shared" si="9"/>
        <v/>
      </c>
    </row>
    <row r="27" spans="1:21" x14ac:dyDescent="0.3">
      <c r="A27" s="29">
        <v>11</v>
      </c>
      <c r="B27" s="21" t="s">
        <v>58</v>
      </c>
      <c r="C27" s="37" t="s">
        <v>34</v>
      </c>
      <c r="D27" s="54"/>
      <c r="E27" s="63">
        <f t="shared" si="14"/>
        <v>0</v>
      </c>
      <c r="F27" s="20" t="str">
        <f t="shared" si="0"/>
        <v/>
      </c>
      <c r="G27" s="20" t="str">
        <f t="shared" si="1"/>
        <v/>
      </c>
      <c r="H27" s="63">
        <f t="shared" si="15"/>
        <v>0</v>
      </c>
      <c r="I27" s="20" t="str">
        <f t="shared" si="2"/>
        <v/>
      </c>
      <c r="J27" s="20" t="str">
        <f t="shared" si="3"/>
        <v/>
      </c>
      <c r="K27" s="63">
        <f t="shared" si="16"/>
        <v>0</v>
      </c>
      <c r="L27" s="20" t="str">
        <f t="shared" si="4"/>
        <v/>
      </c>
      <c r="M27" s="20" t="str">
        <f t="shared" si="5"/>
        <v/>
      </c>
      <c r="N27" s="63">
        <f t="shared" si="17"/>
        <v>0</v>
      </c>
      <c r="O27" s="20" t="str">
        <f t="shared" si="6"/>
        <v/>
      </c>
      <c r="P27" s="20" t="str">
        <f t="shared" si="7"/>
        <v/>
      </c>
      <c r="Q27" s="20" t="str">
        <f t="shared" si="8"/>
        <v/>
      </c>
      <c r="R27" s="20" t="str">
        <f t="shared" si="9"/>
        <v/>
      </c>
    </row>
    <row r="28" spans="1:21" ht="31.2" x14ac:dyDescent="0.3">
      <c r="A28" s="31" t="s">
        <v>52</v>
      </c>
      <c r="B28" s="21" t="s">
        <v>59</v>
      </c>
      <c r="C28" s="31" t="s">
        <v>35</v>
      </c>
      <c r="D28" s="54"/>
      <c r="E28" s="63">
        <f t="shared" si="14"/>
        <v>0</v>
      </c>
      <c r="F28" s="20" t="str">
        <f t="shared" si="0"/>
        <v/>
      </c>
      <c r="G28" s="20" t="str">
        <f t="shared" si="1"/>
        <v/>
      </c>
      <c r="H28" s="63">
        <f t="shared" si="15"/>
        <v>0</v>
      </c>
      <c r="I28" s="20" t="str">
        <f t="shared" si="2"/>
        <v/>
      </c>
      <c r="J28" s="20" t="str">
        <f t="shared" si="3"/>
        <v/>
      </c>
      <c r="K28" s="63">
        <f t="shared" si="16"/>
        <v>0</v>
      </c>
      <c r="L28" s="20" t="str">
        <f t="shared" si="4"/>
        <v/>
      </c>
      <c r="M28" s="20" t="str">
        <f t="shared" si="5"/>
        <v/>
      </c>
      <c r="N28" s="63">
        <f t="shared" si="17"/>
        <v>0</v>
      </c>
      <c r="O28" s="20" t="str">
        <f t="shared" si="6"/>
        <v/>
      </c>
      <c r="P28" s="20" t="str">
        <f t="shared" si="7"/>
        <v/>
      </c>
      <c r="Q28" s="20" t="str">
        <f t="shared" si="8"/>
        <v/>
      </c>
      <c r="R28" s="20" t="str">
        <f t="shared" si="9"/>
        <v/>
      </c>
    </row>
    <row r="29" spans="1:21" x14ac:dyDescent="0.3">
      <c r="A29" s="29">
        <v>12</v>
      </c>
      <c r="B29" s="21" t="s">
        <v>60</v>
      </c>
      <c r="C29" s="39" t="s">
        <v>36</v>
      </c>
      <c r="D29" s="54"/>
      <c r="E29" s="63">
        <f t="shared" si="14"/>
        <v>0</v>
      </c>
      <c r="F29" s="20" t="str">
        <f t="shared" si="0"/>
        <v/>
      </c>
      <c r="G29" s="20" t="str">
        <f t="shared" si="1"/>
        <v/>
      </c>
      <c r="H29" s="63">
        <f t="shared" si="15"/>
        <v>0</v>
      </c>
      <c r="I29" s="20" t="str">
        <f t="shared" si="2"/>
        <v/>
      </c>
      <c r="J29" s="20" t="str">
        <f t="shared" si="3"/>
        <v/>
      </c>
      <c r="K29" s="63">
        <f t="shared" si="16"/>
        <v>0</v>
      </c>
      <c r="L29" s="20" t="str">
        <f t="shared" si="4"/>
        <v/>
      </c>
      <c r="M29" s="20" t="str">
        <f t="shared" si="5"/>
        <v/>
      </c>
      <c r="N29" s="63">
        <f t="shared" si="17"/>
        <v>0</v>
      </c>
      <c r="O29" s="20" t="str">
        <f t="shared" si="6"/>
        <v/>
      </c>
      <c r="P29" s="20" t="str">
        <f t="shared" si="7"/>
        <v/>
      </c>
      <c r="Q29" s="20" t="str">
        <f t="shared" si="8"/>
        <v/>
      </c>
      <c r="R29" s="20" t="str">
        <f t="shared" si="9"/>
        <v/>
      </c>
    </row>
    <row r="30" spans="1:21" x14ac:dyDescent="0.3">
      <c r="A30" s="29">
        <v>13</v>
      </c>
      <c r="B30" s="21" t="s">
        <v>61</v>
      </c>
      <c r="C30" s="39" t="s">
        <v>37</v>
      </c>
      <c r="D30" s="54"/>
      <c r="E30" s="63">
        <f t="shared" si="14"/>
        <v>0</v>
      </c>
      <c r="F30" s="20" t="str">
        <f t="shared" si="0"/>
        <v/>
      </c>
      <c r="G30" s="20" t="str">
        <f t="shared" si="1"/>
        <v/>
      </c>
      <c r="H30" s="63">
        <f t="shared" si="15"/>
        <v>0</v>
      </c>
      <c r="I30" s="20" t="str">
        <f t="shared" si="2"/>
        <v/>
      </c>
      <c r="J30" s="20" t="str">
        <f t="shared" si="3"/>
        <v/>
      </c>
      <c r="K30" s="63">
        <f t="shared" si="16"/>
        <v>0</v>
      </c>
      <c r="L30" s="20" t="str">
        <f t="shared" si="4"/>
        <v/>
      </c>
      <c r="M30" s="20" t="str">
        <f t="shared" si="5"/>
        <v/>
      </c>
      <c r="N30" s="63">
        <f t="shared" si="17"/>
        <v>0</v>
      </c>
      <c r="O30" s="20" t="str">
        <f t="shared" si="6"/>
        <v/>
      </c>
      <c r="P30" s="20" t="str">
        <f t="shared" si="7"/>
        <v/>
      </c>
      <c r="Q30" s="20" t="str">
        <f t="shared" si="8"/>
        <v/>
      </c>
      <c r="R30" s="20" t="str">
        <f t="shared" si="9"/>
        <v/>
      </c>
    </row>
    <row r="31" spans="1:21" x14ac:dyDescent="0.3">
      <c r="A31" s="30" t="s">
        <v>52</v>
      </c>
      <c r="B31" s="21" t="s">
        <v>62</v>
      </c>
      <c r="C31" s="38" t="s">
        <v>27</v>
      </c>
      <c r="D31" s="54"/>
      <c r="E31" s="63"/>
      <c r="F31" s="23" t="str">
        <f t="shared" si="0"/>
        <v/>
      </c>
      <c r="G31" s="23" t="str">
        <f t="shared" si="1"/>
        <v/>
      </c>
      <c r="H31" s="63"/>
      <c r="I31" s="23" t="str">
        <f t="shared" si="2"/>
        <v/>
      </c>
      <c r="J31" s="23" t="str">
        <f t="shared" si="3"/>
        <v/>
      </c>
      <c r="K31" s="63"/>
      <c r="L31" s="23" t="str">
        <f t="shared" si="4"/>
        <v/>
      </c>
      <c r="M31" s="23" t="str">
        <f t="shared" si="5"/>
        <v/>
      </c>
      <c r="N31" s="63"/>
      <c r="O31" s="23" t="str">
        <f t="shared" si="6"/>
        <v/>
      </c>
      <c r="P31" s="23" t="str">
        <f t="shared" si="7"/>
        <v/>
      </c>
      <c r="Q31" s="23" t="str">
        <f t="shared" si="8"/>
        <v/>
      </c>
      <c r="R31" s="23" t="str">
        <f t="shared" si="9"/>
        <v/>
      </c>
    </row>
    <row r="32" spans="1:21" x14ac:dyDescent="0.3">
      <c r="A32" s="29">
        <v>14</v>
      </c>
      <c r="B32" s="21" t="s">
        <v>63</v>
      </c>
      <c r="C32" s="39" t="s">
        <v>38</v>
      </c>
      <c r="D32" s="54"/>
      <c r="E32" s="63"/>
      <c r="F32" s="20" t="str">
        <f t="shared" si="0"/>
        <v/>
      </c>
      <c r="G32" s="20" t="str">
        <f t="shared" si="1"/>
        <v/>
      </c>
      <c r="H32" s="63"/>
      <c r="I32" s="20" t="str">
        <f t="shared" si="2"/>
        <v/>
      </c>
      <c r="J32" s="20" t="str">
        <f t="shared" si="3"/>
        <v/>
      </c>
      <c r="K32" s="63"/>
      <c r="L32" s="20" t="str">
        <f t="shared" si="4"/>
        <v/>
      </c>
      <c r="M32" s="20" t="str">
        <f t="shared" si="5"/>
        <v/>
      </c>
      <c r="N32" s="63"/>
      <c r="O32" s="20" t="str">
        <f t="shared" si="6"/>
        <v/>
      </c>
      <c r="P32" s="20" t="str">
        <f t="shared" si="7"/>
        <v/>
      </c>
      <c r="Q32" s="20" t="str">
        <f t="shared" si="8"/>
        <v/>
      </c>
      <c r="R32" s="20" t="str">
        <f t="shared" si="9"/>
        <v/>
      </c>
    </row>
    <row r="33" spans="1:22" x14ac:dyDescent="0.3">
      <c r="A33" s="29">
        <v>15</v>
      </c>
      <c r="B33" s="21" t="s">
        <v>64</v>
      </c>
      <c r="C33" s="37" t="s">
        <v>39</v>
      </c>
      <c r="D33" s="54"/>
      <c r="E33" s="63">
        <f>S33</f>
        <v>0</v>
      </c>
      <c r="F33" s="20" t="str">
        <f t="shared" si="0"/>
        <v/>
      </c>
      <c r="G33" s="20" t="str">
        <f t="shared" si="1"/>
        <v/>
      </c>
      <c r="H33" s="63">
        <f>T33</f>
        <v>0</v>
      </c>
      <c r="I33" s="20" t="str">
        <f t="shared" si="2"/>
        <v/>
      </c>
      <c r="J33" s="20" t="str">
        <f t="shared" si="3"/>
        <v/>
      </c>
      <c r="K33" s="63">
        <f>U33</f>
        <v>0</v>
      </c>
      <c r="L33" s="20" t="str">
        <f t="shared" si="4"/>
        <v/>
      </c>
      <c r="M33" s="20" t="str">
        <f t="shared" si="5"/>
        <v/>
      </c>
      <c r="N33" s="63">
        <f>V33</f>
        <v>0</v>
      </c>
      <c r="O33" s="20" t="str">
        <f t="shared" si="6"/>
        <v/>
      </c>
      <c r="P33" s="20" t="str">
        <f t="shared" si="7"/>
        <v/>
      </c>
      <c r="Q33" s="20" t="str">
        <f t="shared" si="8"/>
        <v/>
      </c>
      <c r="R33" s="20" t="str">
        <f t="shared" si="9"/>
        <v/>
      </c>
    </row>
    <row r="34" spans="1:22" x14ac:dyDescent="0.3">
      <c r="A34" s="28" t="s">
        <v>17</v>
      </c>
      <c r="B34" s="21" t="s">
        <v>65</v>
      </c>
      <c r="C34" s="40" t="s">
        <v>40</v>
      </c>
      <c r="D34" s="46">
        <f t="shared" ref="D34:E34" si="18">SUM(D35:D48)-D45</f>
        <v>0</v>
      </c>
      <c r="E34" s="46">
        <f t="shared" si="18"/>
        <v>0</v>
      </c>
      <c r="F34" s="20" t="str">
        <f t="shared" si="0"/>
        <v/>
      </c>
      <c r="G34" s="20" t="str">
        <f t="shared" si="1"/>
        <v/>
      </c>
      <c r="H34" s="46">
        <f t="shared" ref="H34" si="19">SUM(H35:H48)-H45</f>
        <v>0</v>
      </c>
      <c r="I34" s="20" t="str">
        <f t="shared" si="2"/>
        <v/>
      </c>
      <c r="J34" s="20" t="str">
        <f t="shared" si="3"/>
        <v/>
      </c>
      <c r="K34" s="46">
        <f t="shared" ref="K34" si="20">SUM(K35:K48)-K45</f>
        <v>0</v>
      </c>
      <c r="L34" s="20" t="str">
        <f t="shared" si="4"/>
        <v/>
      </c>
      <c r="M34" s="20" t="str">
        <f t="shared" si="5"/>
        <v/>
      </c>
      <c r="N34" s="46">
        <f t="shared" ref="N34" si="21">SUM(N35:N48)-N45</f>
        <v>0</v>
      </c>
      <c r="O34" s="20" t="str">
        <f t="shared" si="6"/>
        <v/>
      </c>
      <c r="P34" s="20" t="str">
        <f t="shared" si="7"/>
        <v/>
      </c>
      <c r="Q34" s="20" t="str">
        <f t="shared" si="8"/>
        <v/>
      </c>
      <c r="R34" s="20" t="str">
        <f t="shared" si="9"/>
        <v/>
      </c>
    </row>
    <row r="35" spans="1:22" x14ac:dyDescent="0.3">
      <c r="A35" s="29">
        <v>1</v>
      </c>
      <c r="B35" s="21" t="s">
        <v>66</v>
      </c>
      <c r="C35" s="35" t="s">
        <v>23</v>
      </c>
      <c r="D35" s="21"/>
      <c r="E35" s="53"/>
      <c r="F35" s="20" t="str">
        <f t="shared" si="0"/>
        <v/>
      </c>
      <c r="G35" s="20" t="str">
        <f t="shared" si="1"/>
        <v/>
      </c>
      <c r="H35" s="22"/>
      <c r="I35" s="20" t="str">
        <f t="shared" si="2"/>
        <v/>
      </c>
      <c r="J35" s="20" t="str">
        <f t="shared" si="3"/>
        <v/>
      </c>
      <c r="K35" s="22"/>
      <c r="L35" s="20" t="str">
        <f t="shared" si="4"/>
        <v/>
      </c>
      <c r="M35" s="20" t="str">
        <f t="shared" si="5"/>
        <v/>
      </c>
      <c r="N35" s="22"/>
      <c r="O35" s="20" t="str">
        <f t="shared" si="6"/>
        <v/>
      </c>
      <c r="P35" s="20" t="str">
        <f t="shared" si="7"/>
        <v/>
      </c>
      <c r="Q35" s="20" t="str">
        <f t="shared" si="8"/>
        <v/>
      </c>
      <c r="R35" s="20" t="str">
        <f t="shared" si="9"/>
        <v/>
      </c>
    </row>
    <row r="36" spans="1:22" x14ac:dyDescent="0.3">
      <c r="A36" s="29">
        <v>2</v>
      </c>
      <c r="B36" s="21" t="s">
        <v>67</v>
      </c>
      <c r="C36" s="36" t="s">
        <v>24</v>
      </c>
      <c r="D36" s="21"/>
      <c r="E36" s="53"/>
      <c r="F36" s="20" t="str">
        <f t="shared" si="0"/>
        <v/>
      </c>
      <c r="G36" s="20" t="str">
        <f t="shared" si="1"/>
        <v/>
      </c>
      <c r="H36" s="22"/>
      <c r="I36" s="20" t="str">
        <f t="shared" si="2"/>
        <v/>
      </c>
      <c r="J36" s="20" t="str">
        <f t="shared" si="3"/>
        <v/>
      </c>
      <c r="K36" s="22"/>
      <c r="L36" s="20" t="str">
        <f t="shared" si="4"/>
        <v/>
      </c>
      <c r="M36" s="20" t="str">
        <f t="shared" si="5"/>
        <v/>
      </c>
      <c r="N36" s="22"/>
      <c r="O36" s="20" t="str">
        <f t="shared" si="6"/>
        <v/>
      </c>
      <c r="P36" s="20" t="str">
        <f t="shared" si="7"/>
        <v/>
      </c>
      <c r="Q36" s="20" t="str">
        <f t="shared" si="8"/>
        <v/>
      </c>
      <c r="R36" s="20" t="str">
        <f t="shared" si="9"/>
        <v/>
      </c>
    </row>
    <row r="37" spans="1:22" x14ac:dyDescent="0.3">
      <c r="A37" s="29">
        <v>3</v>
      </c>
      <c r="B37" s="21" t="s">
        <v>68</v>
      </c>
      <c r="C37" s="37" t="s">
        <v>25</v>
      </c>
      <c r="D37" s="21"/>
      <c r="E37" s="53"/>
      <c r="F37" s="20" t="str">
        <f t="shared" si="0"/>
        <v/>
      </c>
      <c r="G37" s="20" t="str">
        <f t="shared" si="1"/>
        <v/>
      </c>
      <c r="H37" s="22"/>
      <c r="I37" s="20" t="str">
        <f t="shared" si="2"/>
        <v/>
      </c>
      <c r="J37" s="20" t="str">
        <f t="shared" si="3"/>
        <v/>
      </c>
      <c r="K37" s="22"/>
      <c r="L37" s="20" t="str">
        <f t="shared" si="4"/>
        <v/>
      </c>
      <c r="M37" s="20" t="str">
        <f t="shared" si="5"/>
        <v/>
      </c>
      <c r="N37" s="22"/>
      <c r="O37" s="20" t="str">
        <f t="shared" si="6"/>
        <v/>
      </c>
      <c r="P37" s="20" t="str">
        <f t="shared" si="7"/>
        <v/>
      </c>
      <c r="Q37" s="20" t="str">
        <f t="shared" si="8"/>
        <v/>
      </c>
      <c r="R37" s="20" t="str">
        <f t="shared" si="9"/>
        <v/>
      </c>
    </row>
    <row r="38" spans="1:22" x14ac:dyDescent="0.3">
      <c r="A38" s="29">
        <v>4</v>
      </c>
      <c r="B38" s="21" t="s">
        <v>69</v>
      </c>
      <c r="C38" s="37" t="s">
        <v>26</v>
      </c>
      <c r="D38" s="21"/>
      <c r="E38" s="53"/>
      <c r="F38" s="20" t="str">
        <f t="shared" si="0"/>
        <v/>
      </c>
      <c r="G38" s="20" t="str">
        <f t="shared" si="1"/>
        <v/>
      </c>
      <c r="H38" s="22"/>
      <c r="I38" s="20" t="str">
        <f t="shared" si="2"/>
        <v/>
      </c>
      <c r="J38" s="20" t="str">
        <f t="shared" si="3"/>
        <v/>
      </c>
      <c r="K38" s="22"/>
      <c r="L38" s="20" t="str">
        <f t="shared" si="4"/>
        <v/>
      </c>
      <c r="M38" s="20" t="str">
        <f t="shared" si="5"/>
        <v/>
      </c>
      <c r="N38" s="22"/>
      <c r="O38" s="20" t="str">
        <f t="shared" si="6"/>
        <v/>
      </c>
      <c r="P38" s="20" t="str">
        <f t="shared" si="7"/>
        <v/>
      </c>
      <c r="Q38" s="20" t="str">
        <f t="shared" si="8"/>
        <v/>
      </c>
      <c r="R38" s="20" t="str">
        <f t="shared" si="9"/>
        <v/>
      </c>
    </row>
    <row r="39" spans="1:22" x14ac:dyDescent="0.3">
      <c r="A39" s="29">
        <v>5</v>
      </c>
      <c r="B39" s="21" t="s">
        <v>70</v>
      </c>
      <c r="C39" s="39" t="s">
        <v>28</v>
      </c>
      <c r="D39" s="21"/>
      <c r="E39" s="53"/>
      <c r="F39" s="20" t="str">
        <f t="shared" si="0"/>
        <v/>
      </c>
      <c r="G39" s="20" t="str">
        <f t="shared" si="1"/>
        <v/>
      </c>
      <c r="H39" s="22"/>
      <c r="I39" s="20" t="str">
        <f t="shared" si="2"/>
        <v/>
      </c>
      <c r="J39" s="20" t="str">
        <f t="shared" si="3"/>
        <v/>
      </c>
      <c r="K39" s="22"/>
      <c r="L39" s="20" t="str">
        <f t="shared" si="4"/>
        <v/>
      </c>
      <c r="M39" s="20" t="str">
        <f t="shared" si="5"/>
        <v/>
      </c>
      <c r="N39" s="22"/>
      <c r="O39" s="20" t="str">
        <f t="shared" si="6"/>
        <v/>
      </c>
      <c r="P39" s="20" t="str">
        <f t="shared" si="7"/>
        <v/>
      </c>
      <c r="Q39" s="20" t="str">
        <f t="shared" si="8"/>
        <v/>
      </c>
      <c r="R39" s="20" t="str">
        <f t="shared" si="9"/>
        <v/>
      </c>
    </row>
    <row r="40" spans="1:22" x14ac:dyDescent="0.3">
      <c r="A40" s="29">
        <v>6</v>
      </c>
      <c r="B40" s="21" t="s">
        <v>71</v>
      </c>
      <c r="C40" s="37" t="s">
        <v>29</v>
      </c>
      <c r="D40" s="21"/>
      <c r="E40" s="53"/>
      <c r="F40" s="20" t="str">
        <f t="shared" si="0"/>
        <v/>
      </c>
      <c r="G40" s="20" t="str">
        <f t="shared" si="1"/>
        <v/>
      </c>
      <c r="H40" s="22"/>
      <c r="I40" s="20" t="str">
        <f t="shared" si="2"/>
        <v/>
      </c>
      <c r="J40" s="20" t="str">
        <f t="shared" si="3"/>
        <v/>
      </c>
      <c r="K40" s="22"/>
      <c r="L40" s="20" t="str">
        <f t="shared" si="4"/>
        <v/>
      </c>
      <c r="M40" s="20" t="str">
        <f t="shared" si="5"/>
        <v/>
      </c>
      <c r="N40" s="22"/>
      <c r="O40" s="20" t="str">
        <f t="shared" si="6"/>
        <v/>
      </c>
      <c r="P40" s="20" t="str">
        <f t="shared" si="7"/>
        <v/>
      </c>
      <c r="Q40" s="20" t="str">
        <f t="shared" si="8"/>
        <v/>
      </c>
      <c r="R40" s="20" t="str">
        <f t="shared" si="9"/>
        <v/>
      </c>
    </row>
    <row r="41" spans="1:22" x14ac:dyDescent="0.3">
      <c r="A41" s="29">
        <v>7</v>
      </c>
      <c r="B41" s="21" t="s">
        <v>72</v>
      </c>
      <c r="C41" s="37" t="s">
        <v>31</v>
      </c>
      <c r="D41" s="21"/>
      <c r="E41" s="53"/>
      <c r="F41" s="20" t="str">
        <f t="shared" si="0"/>
        <v/>
      </c>
      <c r="G41" s="20" t="str">
        <f t="shared" si="1"/>
        <v/>
      </c>
      <c r="H41" s="22"/>
      <c r="I41" s="20" t="str">
        <f t="shared" si="2"/>
        <v/>
      </c>
      <c r="J41" s="20" t="str">
        <f t="shared" si="3"/>
        <v/>
      </c>
      <c r="K41" s="22"/>
      <c r="L41" s="20" t="str">
        <f t="shared" si="4"/>
        <v/>
      </c>
      <c r="M41" s="20" t="str">
        <f t="shared" si="5"/>
        <v/>
      </c>
      <c r="N41" s="22"/>
      <c r="O41" s="20" t="str">
        <f t="shared" si="6"/>
        <v/>
      </c>
      <c r="P41" s="20" t="str">
        <f t="shared" si="7"/>
        <v/>
      </c>
      <c r="Q41" s="20" t="str">
        <f t="shared" si="8"/>
        <v/>
      </c>
      <c r="R41" s="20" t="str">
        <f t="shared" si="9"/>
        <v/>
      </c>
    </row>
    <row r="42" spans="1:22" x14ac:dyDescent="0.3">
      <c r="A42" s="29">
        <v>8</v>
      </c>
      <c r="B42" s="21" t="s">
        <v>73</v>
      </c>
      <c r="C42" s="37" t="s">
        <v>32</v>
      </c>
      <c r="D42" s="21"/>
      <c r="E42" s="53"/>
      <c r="F42" s="20" t="str">
        <f t="shared" si="0"/>
        <v/>
      </c>
      <c r="G42" s="20" t="str">
        <f t="shared" si="1"/>
        <v/>
      </c>
      <c r="H42" s="22"/>
      <c r="I42" s="20" t="str">
        <f t="shared" si="2"/>
        <v/>
      </c>
      <c r="J42" s="20" t="str">
        <f t="shared" si="3"/>
        <v/>
      </c>
      <c r="K42" s="22"/>
      <c r="L42" s="20" t="str">
        <f t="shared" si="4"/>
        <v/>
      </c>
      <c r="M42" s="20" t="str">
        <f t="shared" si="5"/>
        <v/>
      </c>
      <c r="N42" s="22"/>
      <c r="O42" s="20" t="str">
        <f t="shared" si="6"/>
        <v/>
      </c>
      <c r="P42" s="20" t="str">
        <f t="shared" si="7"/>
        <v/>
      </c>
      <c r="Q42" s="20" t="str">
        <f t="shared" si="8"/>
        <v/>
      </c>
      <c r="R42" s="20" t="str">
        <f t="shared" si="9"/>
        <v/>
      </c>
    </row>
    <row r="43" spans="1:22" x14ac:dyDescent="0.3">
      <c r="A43" s="29">
        <v>9</v>
      </c>
      <c r="B43" s="21" t="s">
        <v>74</v>
      </c>
      <c r="C43" s="37" t="s">
        <v>33</v>
      </c>
      <c r="D43" s="21"/>
      <c r="E43" s="53"/>
      <c r="F43" s="20" t="str">
        <f t="shared" si="0"/>
        <v/>
      </c>
      <c r="G43" s="20" t="str">
        <f t="shared" si="1"/>
        <v/>
      </c>
      <c r="H43" s="22"/>
      <c r="I43" s="20" t="str">
        <f t="shared" si="2"/>
        <v/>
      </c>
      <c r="J43" s="20" t="str">
        <f t="shared" si="3"/>
        <v/>
      </c>
      <c r="K43" s="22"/>
      <c r="L43" s="20" t="str">
        <f t="shared" si="4"/>
        <v/>
      </c>
      <c r="M43" s="20" t="str">
        <f t="shared" si="5"/>
        <v/>
      </c>
      <c r="N43" s="22"/>
      <c r="O43" s="20" t="str">
        <f t="shared" si="6"/>
        <v/>
      </c>
      <c r="P43" s="20" t="str">
        <f t="shared" si="7"/>
        <v/>
      </c>
      <c r="Q43" s="20" t="str">
        <f t="shared" si="8"/>
        <v/>
      </c>
      <c r="R43" s="20" t="str">
        <f t="shared" si="9"/>
        <v/>
      </c>
    </row>
    <row r="44" spans="1:22" x14ac:dyDescent="0.3">
      <c r="A44" s="29">
        <v>10</v>
      </c>
      <c r="B44" s="21" t="s">
        <v>75</v>
      </c>
      <c r="C44" s="39" t="s">
        <v>34</v>
      </c>
      <c r="D44" s="21"/>
      <c r="E44" s="53"/>
      <c r="F44" s="20" t="str">
        <f t="shared" si="0"/>
        <v/>
      </c>
      <c r="G44" s="20" t="str">
        <f t="shared" si="1"/>
        <v/>
      </c>
      <c r="H44" s="22"/>
      <c r="I44" s="20" t="str">
        <f t="shared" si="2"/>
        <v/>
      </c>
      <c r="J44" s="20" t="str">
        <f t="shared" si="3"/>
        <v/>
      </c>
      <c r="K44" s="22"/>
      <c r="L44" s="20" t="str">
        <f t="shared" si="4"/>
        <v/>
      </c>
      <c r="M44" s="20" t="str">
        <f t="shared" si="5"/>
        <v/>
      </c>
      <c r="N44" s="22"/>
      <c r="O44" s="20" t="str">
        <f t="shared" si="6"/>
        <v/>
      </c>
      <c r="P44" s="20" t="str">
        <f t="shared" si="7"/>
        <v/>
      </c>
      <c r="Q44" s="20" t="str">
        <f t="shared" si="8"/>
        <v/>
      </c>
      <c r="R44" s="20" t="str">
        <f t="shared" si="9"/>
        <v/>
      </c>
    </row>
    <row r="45" spans="1:22" ht="31.2" x14ac:dyDescent="0.3">
      <c r="A45" s="30" t="s">
        <v>52</v>
      </c>
      <c r="B45" s="21" t="s">
        <v>76</v>
      </c>
      <c r="C45" s="31" t="s">
        <v>35</v>
      </c>
      <c r="D45" s="55"/>
      <c r="E45" s="53"/>
      <c r="F45" s="23" t="str">
        <f t="shared" si="0"/>
        <v/>
      </c>
      <c r="G45" s="23" t="str">
        <f t="shared" si="1"/>
        <v/>
      </c>
      <c r="H45" s="24"/>
      <c r="I45" s="23" t="str">
        <f t="shared" si="2"/>
        <v/>
      </c>
      <c r="J45" s="23" t="str">
        <f t="shared" si="3"/>
        <v/>
      </c>
      <c r="K45" s="24"/>
      <c r="L45" s="23" t="str">
        <f t="shared" si="4"/>
        <v/>
      </c>
      <c r="M45" s="23" t="str">
        <f t="shared" si="5"/>
        <v/>
      </c>
      <c r="N45" s="24"/>
      <c r="O45" s="23" t="str">
        <f t="shared" si="6"/>
        <v/>
      </c>
      <c r="P45" s="23" t="str">
        <f t="shared" si="7"/>
        <v/>
      </c>
      <c r="Q45" s="23" t="str">
        <f t="shared" si="8"/>
        <v/>
      </c>
      <c r="R45" s="23" t="str">
        <f t="shared" si="9"/>
        <v/>
      </c>
    </row>
    <row r="46" spans="1:22" s="4" customFormat="1" x14ac:dyDescent="0.3">
      <c r="A46" s="32">
        <v>11</v>
      </c>
      <c r="B46" s="21" t="s">
        <v>77</v>
      </c>
      <c r="C46" s="41" t="s">
        <v>36</v>
      </c>
      <c r="D46" s="21"/>
      <c r="E46" s="53"/>
      <c r="F46" s="20" t="str">
        <f t="shared" si="0"/>
        <v/>
      </c>
      <c r="G46" s="20" t="str">
        <f t="shared" si="1"/>
        <v/>
      </c>
      <c r="H46" s="22"/>
      <c r="I46" s="20" t="str">
        <f t="shared" si="2"/>
        <v/>
      </c>
      <c r="J46" s="20" t="str">
        <f t="shared" si="3"/>
        <v/>
      </c>
      <c r="K46" s="22"/>
      <c r="L46" s="20" t="str">
        <f t="shared" si="4"/>
        <v/>
      </c>
      <c r="M46" s="20" t="str">
        <f t="shared" si="5"/>
        <v/>
      </c>
      <c r="N46" s="22"/>
      <c r="O46" s="20" t="str">
        <f t="shared" si="6"/>
        <v/>
      </c>
      <c r="P46" s="20" t="str">
        <f t="shared" si="7"/>
        <v/>
      </c>
      <c r="Q46" s="20" t="str">
        <f t="shared" si="8"/>
        <v/>
      </c>
      <c r="R46" s="20" t="str">
        <f t="shared" si="9"/>
        <v/>
      </c>
      <c r="S46" s="2"/>
      <c r="T46" s="2"/>
      <c r="U46" s="2"/>
      <c r="V46" s="2"/>
    </row>
    <row r="47" spans="1:22" x14ac:dyDescent="0.3">
      <c r="A47" s="29">
        <v>12</v>
      </c>
      <c r="B47" s="21" t="s">
        <v>78</v>
      </c>
      <c r="C47" s="39" t="s">
        <v>37</v>
      </c>
      <c r="D47" s="21"/>
      <c r="E47" s="53"/>
      <c r="F47" s="20" t="str">
        <f t="shared" si="0"/>
        <v/>
      </c>
      <c r="G47" s="20" t="str">
        <f t="shared" si="1"/>
        <v/>
      </c>
      <c r="H47" s="22"/>
      <c r="I47" s="20" t="str">
        <f t="shared" si="2"/>
        <v/>
      </c>
      <c r="J47" s="20" t="str">
        <f t="shared" si="3"/>
        <v/>
      </c>
      <c r="K47" s="22"/>
      <c r="L47" s="20" t="str">
        <f t="shared" si="4"/>
        <v/>
      </c>
      <c r="M47" s="20" t="str">
        <f t="shared" si="5"/>
        <v/>
      </c>
      <c r="N47" s="22"/>
      <c r="O47" s="20" t="str">
        <f t="shared" si="6"/>
        <v/>
      </c>
      <c r="P47" s="20" t="str">
        <f t="shared" si="7"/>
        <v/>
      </c>
      <c r="Q47" s="20" t="str">
        <f t="shared" si="8"/>
        <v/>
      </c>
      <c r="R47" s="20" t="str">
        <f t="shared" si="9"/>
        <v/>
      </c>
    </row>
    <row r="48" spans="1:22" x14ac:dyDescent="0.3">
      <c r="A48" s="29">
        <v>13</v>
      </c>
      <c r="B48" s="21" t="s">
        <v>79</v>
      </c>
      <c r="C48" s="35" t="s">
        <v>41</v>
      </c>
      <c r="D48" s="21"/>
      <c r="E48" s="63">
        <f>S48</f>
        <v>0</v>
      </c>
      <c r="F48" s="20" t="str">
        <f t="shared" si="0"/>
        <v/>
      </c>
      <c r="G48" s="20" t="str">
        <f t="shared" si="1"/>
        <v/>
      </c>
      <c r="H48" s="63">
        <f>T48</f>
        <v>0</v>
      </c>
      <c r="I48" s="20" t="str">
        <f t="shared" si="2"/>
        <v/>
      </c>
      <c r="J48" s="20" t="str">
        <f t="shared" si="3"/>
        <v/>
      </c>
      <c r="K48" s="63">
        <f>U48</f>
        <v>0</v>
      </c>
      <c r="L48" s="20" t="str">
        <f t="shared" si="4"/>
        <v/>
      </c>
      <c r="M48" s="20" t="str">
        <f t="shared" si="5"/>
        <v/>
      </c>
      <c r="N48" s="63">
        <f>V48</f>
        <v>0</v>
      </c>
      <c r="O48" s="20" t="str">
        <f t="shared" si="6"/>
        <v/>
      </c>
      <c r="P48" s="20" t="str">
        <f t="shared" si="7"/>
        <v/>
      </c>
      <c r="Q48" s="20" t="str">
        <f t="shared" si="8"/>
        <v/>
      </c>
      <c r="R48" s="20" t="str">
        <f t="shared" si="9"/>
        <v/>
      </c>
    </row>
    <row r="49" spans="1:21" x14ac:dyDescent="0.3">
      <c r="A49" s="27" t="s">
        <v>19</v>
      </c>
      <c r="B49" s="21" t="s">
        <v>80</v>
      </c>
      <c r="C49" s="42" t="s">
        <v>42</v>
      </c>
      <c r="D49" s="46"/>
      <c r="E49" s="45"/>
      <c r="F49" s="20" t="str">
        <f t="shared" si="0"/>
        <v/>
      </c>
      <c r="G49" s="20" t="str">
        <f t="shared" si="1"/>
        <v/>
      </c>
      <c r="H49" s="45"/>
      <c r="I49" s="20" t="str">
        <f t="shared" si="2"/>
        <v/>
      </c>
      <c r="J49" s="20" t="str">
        <f t="shared" si="3"/>
        <v/>
      </c>
      <c r="K49" s="45"/>
      <c r="L49" s="20" t="str">
        <f t="shared" si="4"/>
        <v/>
      </c>
      <c r="M49" s="20" t="str">
        <f t="shared" si="5"/>
        <v/>
      </c>
      <c r="N49" s="45"/>
      <c r="O49" s="20" t="str">
        <f t="shared" si="6"/>
        <v/>
      </c>
      <c r="P49" s="20" t="str">
        <f t="shared" si="7"/>
        <v/>
      </c>
      <c r="Q49" s="20" t="str">
        <f t="shared" si="8"/>
        <v/>
      </c>
      <c r="R49" s="20" t="str">
        <f t="shared" si="9"/>
        <v/>
      </c>
    </row>
    <row r="50" spans="1:21" x14ac:dyDescent="0.3">
      <c r="A50" s="29">
        <v>1</v>
      </c>
      <c r="B50" s="21" t="s">
        <v>81</v>
      </c>
      <c r="C50" s="37" t="s">
        <v>43</v>
      </c>
      <c r="D50" s="21"/>
      <c r="E50" s="53"/>
      <c r="F50" s="20" t="str">
        <f t="shared" si="0"/>
        <v/>
      </c>
      <c r="G50" s="20" t="str">
        <f t="shared" si="1"/>
        <v/>
      </c>
      <c r="H50" s="22"/>
      <c r="I50" s="20" t="str">
        <f t="shared" si="2"/>
        <v/>
      </c>
      <c r="J50" s="20" t="str">
        <f t="shared" si="3"/>
        <v/>
      </c>
      <c r="K50" s="22"/>
      <c r="L50" s="20" t="str">
        <f t="shared" si="4"/>
        <v/>
      </c>
      <c r="M50" s="20" t="str">
        <f t="shared" si="5"/>
        <v/>
      </c>
      <c r="N50" s="22"/>
      <c r="O50" s="20" t="str">
        <f t="shared" si="6"/>
        <v/>
      </c>
      <c r="P50" s="20" t="str">
        <f t="shared" si="7"/>
        <v/>
      </c>
      <c r="Q50" s="20" t="str">
        <f t="shared" si="8"/>
        <v/>
      </c>
      <c r="R50" s="20" t="str">
        <f t="shared" si="9"/>
        <v/>
      </c>
    </row>
    <row r="51" spans="1:21" x14ac:dyDescent="0.3">
      <c r="A51" s="29">
        <v>2</v>
      </c>
      <c r="B51" s="21" t="s">
        <v>82</v>
      </c>
      <c r="C51" s="37" t="s">
        <v>44</v>
      </c>
      <c r="D51" s="21"/>
      <c r="E51" s="53"/>
      <c r="F51" s="20" t="str">
        <f t="shared" si="0"/>
        <v/>
      </c>
      <c r="G51" s="20" t="str">
        <f t="shared" si="1"/>
        <v/>
      </c>
      <c r="H51" s="22"/>
      <c r="I51" s="20" t="str">
        <f t="shared" si="2"/>
        <v/>
      </c>
      <c r="J51" s="20" t="str">
        <f t="shared" si="3"/>
        <v/>
      </c>
      <c r="K51" s="22"/>
      <c r="L51" s="20" t="str">
        <f t="shared" si="4"/>
        <v/>
      </c>
      <c r="M51" s="20" t="str">
        <f t="shared" si="5"/>
        <v/>
      </c>
      <c r="N51" s="22"/>
      <c r="O51" s="20" t="str">
        <f t="shared" si="6"/>
        <v/>
      </c>
      <c r="P51" s="20" t="str">
        <f t="shared" si="7"/>
        <v/>
      </c>
      <c r="Q51" s="20" t="str">
        <f t="shared" si="8"/>
        <v/>
      </c>
      <c r="R51" s="20" t="str">
        <f t="shared" si="9"/>
        <v/>
      </c>
    </row>
    <row r="52" spans="1:21" x14ac:dyDescent="0.3">
      <c r="A52" s="30" t="s">
        <v>52</v>
      </c>
      <c r="B52" s="21" t="s">
        <v>83</v>
      </c>
      <c r="C52" s="31" t="s">
        <v>45</v>
      </c>
      <c r="D52" s="55"/>
      <c r="E52" s="53"/>
      <c r="F52" s="23" t="str">
        <f t="shared" si="0"/>
        <v/>
      </c>
      <c r="G52" s="23" t="str">
        <f t="shared" si="1"/>
        <v/>
      </c>
      <c r="H52" s="24"/>
      <c r="I52" s="23" t="str">
        <f t="shared" si="2"/>
        <v/>
      </c>
      <c r="J52" s="23" t="str">
        <f t="shared" si="3"/>
        <v/>
      </c>
      <c r="K52" s="24"/>
      <c r="L52" s="23" t="str">
        <f t="shared" si="4"/>
        <v/>
      </c>
      <c r="M52" s="23" t="str">
        <f t="shared" si="5"/>
        <v/>
      </c>
      <c r="N52" s="24"/>
      <c r="O52" s="23" t="str">
        <f t="shared" si="6"/>
        <v/>
      </c>
      <c r="P52" s="23" t="str">
        <f t="shared" si="7"/>
        <v/>
      </c>
      <c r="Q52" s="23" t="str">
        <f t="shared" si="8"/>
        <v/>
      </c>
      <c r="R52" s="23" t="str">
        <f t="shared" si="9"/>
        <v/>
      </c>
    </row>
    <row r="53" spans="1:21" s="6" customFormat="1" x14ac:dyDescent="0.3">
      <c r="A53" s="29">
        <v>3</v>
      </c>
      <c r="B53" s="21" t="s">
        <v>84</v>
      </c>
      <c r="C53" s="37" t="s">
        <v>46</v>
      </c>
      <c r="D53" s="21"/>
      <c r="E53" s="53"/>
      <c r="F53" s="20" t="str">
        <f t="shared" si="0"/>
        <v/>
      </c>
      <c r="G53" s="20" t="str">
        <f t="shared" si="1"/>
        <v/>
      </c>
      <c r="H53" s="22"/>
      <c r="I53" s="20" t="str">
        <f t="shared" si="2"/>
        <v/>
      </c>
      <c r="J53" s="20" t="str">
        <f t="shared" si="3"/>
        <v/>
      </c>
      <c r="K53" s="22"/>
      <c r="L53" s="20" t="str">
        <f t="shared" si="4"/>
        <v/>
      </c>
      <c r="M53" s="20" t="str">
        <f t="shared" si="5"/>
        <v/>
      </c>
      <c r="N53" s="22"/>
      <c r="O53" s="20" t="str">
        <f t="shared" si="6"/>
        <v/>
      </c>
      <c r="P53" s="20" t="str">
        <f t="shared" si="7"/>
        <v/>
      </c>
      <c r="Q53" s="20" t="str">
        <f t="shared" si="8"/>
        <v/>
      </c>
      <c r="R53" s="20" t="str">
        <f t="shared" si="9"/>
        <v/>
      </c>
      <c r="S53" s="2"/>
      <c r="T53" s="2"/>
      <c r="U53" s="2"/>
    </row>
    <row r="54" spans="1:21" s="6" customFormat="1" x14ac:dyDescent="0.3">
      <c r="A54" s="30" t="s">
        <v>52</v>
      </c>
      <c r="B54" s="21" t="s">
        <v>85</v>
      </c>
      <c r="C54" s="31" t="s">
        <v>47</v>
      </c>
      <c r="D54" s="55"/>
      <c r="E54" s="53"/>
      <c r="F54" s="23" t="str">
        <f t="shared" si="0"/>
        <v/>
      </c>
      <c r="G54" s="23" t="str">
        <f t="shared" si="1"/>
        <v/>
      </c>
      <c r="H54" s="24"/>
      <c r="I54" s="23" t="str">
        <f t="shared" si="2"/>
        <v/>
      </c>
      <c r="J54" s="23" t="str">
        <f t="shared" si="3"/>
        <v/>
      </c>
      <c r="K54" s="24"/>
      <c r="L54" s="23" t="str">
        <f t="shared" si="4"/>
        <v/>
      </c>
      <c r="M54" s="23" t="str">
        <f t="shared" si="5"/>
        <v/>
      </c>
      <c r="N54" s="24"/>
      <c r="O54" s="23" t="str">
        <f t="shared" si="6"/>
        <v/>
      </c>
      <c r="P54" s="23" t="str">
        <f t="shared" si="7"/>
        <v/>
      </c>
      <c r="Q54" s="23" t="str">
        <f t="shared" si="8"/>
        <v/>
      </c>
      <c r="R54" s="23" t="str">
        <f t="shared" si="9"/>
        <v/>
      </c>
      <c r="S54" s="2"/>
      <c r="T54" s="2"/>
      <c r="U54" s="2"/>
    </row>
    <row r="55" spans="1:21" s="6" customFormat="1" x14ac:dyDescent="0.3">
      <c r="A55" s="29">
        <v>4</v>
      </c>
      <c r="B55" s="21" t="s">
        <v>86</v>
      </c>
      <c r="C55" s="37" t="s">
        <v>48</v>
      </c>
      <c r="D55" s="21"/>
      <c r="E55" s="53"/>
      <c r="F55" s="20" t="str">
        <f t="shared" si="0"/>
        <v/>
      </c>
      <c r="G55" s="20" t="str">
        <f t="shared" si="1"/>
        <v/>
      </c>
      <c r="H55" s="22"/>
      <c r="I55" s="20" t="str">
        <f t="shared" si="2"/>
        <v/>
      </c>
      <c r="J55" s="20" t="str">
        <f t="shared" si="3"/>
        <v/>
      </c>
      <c r="K55" s="22"/>
      <c r="L55" s="20" t="str">
        <f t="shared" si="4"/>
        <v/>
      </c>
      <c r="M55" s="20" t="str">
        <f t="shared" si="5"/>
        <v/>
      </c>
      <c r="N55" s="22"/>
      <c r="O55" s="20" t="str">
        <f t="shared" si="6"/>
        <v/>
      </c>
      <c r="P55" s="20" t="str">
        <f t="shared" si="7"/>
        <v/>
      </c>
      <c r="Q55" s="20" t="str">
        <f t="shared" si="8"/>
        <v/>
      </c>
      <c r="R55" s="20" t="str">
        <f t="shared" si="9"/>
        <v/>
      </c>
      <c r="S55" s="2"/>
      <c r="T55" s="2"/>
      <c r="U55" s="2"/>
    </row>
    <row r="56" spans="1:21" s="6" customFormat="1" x14ac:dyDescent="0.3">
      <c r="A56" s="30" t="s">
        <v>52</v>
      </c>
      <c r="B56" s="21" t="s">
        <v>87</v>
      </c>
      <c r="C56" s="31" t="s">
        <v>49</v>
      </c>
      <c r="D56" s="55"/>
      <c r="E56" s="53"/>
      <c r="F56" s="23" t="str">
        <f t="shared" si="0"/>
        <v/>
      </c>
      <c r="G56" s="23" t="str">
        <f t="shared" si="1"/>
        <v/>
      </c>
      <c r="H56" s="24"/>
      <c r="I56" s="23" t="str">
        <f t="shared" si="2"/>
        <v/>
      </c>
      <c r="J56" s="23" t="str">
        <f t="shared" si="3"/>
        <v/>
      </c>
      <c r="K56" s="24"/>
      <c r="L56" s="23" t="str">
        <f t="shared" si="4"/>
        <v/>
      </c>
      <c r="M56" s="23" t="str">
        <f t="shared" si="5"/>
        <v/>
      </c>
      <c r="N56" s="24"/>
      <c r="O56" s="23" t="str">
        <f t="shared" si="6"/>
        <v/>
      </c>
      <c r="P56" s="23" t="str">
        <f t="shared" si="7"/>
        <v/>
      </c>
      <c r="Q56" s="23" t="str">
        <f t="shared" si="8"/>
        <v/>
      </c>
      <c r="R56" s="23" t="str">
        <f t="shared" si="9"/>
        <v/>
      </c>
      <c r="S56" s="2"/>
      <c r="T56" s="2"/>
      <c r="U56" s="2"/>
    </row>
    <row r="57" spans="1:21" s="6" customFormat="1" x14ac:dyDescent="0.3">
      <c r="A57" s="29">
        <v>5</v>
      </c>
      <c r="B57" s="21" t="s">
        <v>88</v>
      </c>
      <c r="C57" s="37" t="s">
        <v>95</v>
      </c>
      <c r="D57" s="56"/>
      <c r="E57" s="53"/>
      <c r="F57" s="57"/>
      <c r="G57" s="57"/>
      <c r="H57" s="58"/>
      <c r="I57" s="57"/>
      <c r="J57" s="57"/>
      <c r="K57" s="58"/>
      <c r="L57" s="57"/>
      <c r="M57" s="57"/>
      <c r="N57" s="58"/>
      <c r="O57" s="57"/>
      <c r="P57" s="57"/>
      <c r="Q57" s="57"/>
      <c r="R57" s="57"/>
      <c r="S57" s="2"/>
      <c r="T57" s="2"/>
      <c r="U57" s="2"/>
    </row>
    <row r="58" spans="1:21" s="6" customFormat="1" x14ac:dyDescent="0.3">
      <c r="A58" s="30" t="s">
        <v>52</v>
      </c>
      <c r="B58" s="21" t="s">
        <v>89</v>
      </c>
      <c r="C58" s="31" t="s">
        <v>96</v>
      </c>
      <c r="D58" s="56"/>
      <c r="E58" s="53"/>
      <c r="F58" s="57"/>
      <c r="G58" s="57"/>
      <c r="H58" s="58"/>
      <c r="I58" s="57"/>
      <c r="J58" s="57"/>
      <c r="K58" s="58"/>
      <c r="L58" s="57"/>
      <c r="M58" s="57"/>
      <c r="N58" s="58"/>
      <c r="O58" s="57"/>
      <c r="P58" s="57"/>
      <c r="Q58" s="57"/>
      <c r="R58" s="57"/>
      <c r="S58" s="2"/>
      <c r="T58" s="2"/>
      <c r="U58" s="2"/>
    </row>
    <row r="59" spans="1:21" s="4" customFormat="1" x14ac:dyDescent="0.3">
      <c r="A59" s="29">
        <v>6</v>
      </c>
      <c r="B59" s="21" t="s">
        <v>90</v>
      </c>
      <c r="C59" s="37" t="s">
        <v>97</v>
      </c>
      <c r="D59" s="21"/>
      <c r="E59" s="53"/>
      <c r="F59" s="20" t="str">
        <f t="shared" si="0"/>
        <v/>
      </c>
      <c r="G59" s="20" t="str">
        <f t="shared" si="1"/>
        <v/>
      </c>
      <c r="H59" s="22"/>
      <c r="I59" s="20" t="str">
        <f t="shared" si="2"/>
        <v/>
      </c>
      <c r="J59" s="20" t="str">
        <f t="shared" si="3"/>
        <v/>
      </c>
      <c r="K59" s="22"/>
      <c r="L59" s="20" t="str">
        <f t="shared" si="4"/>
        <v/>
      </c>
      <c r="M59" s="20" t="str">
        <f t="shared" si="5"/>
        <v/>
      </c>
      <c r="N59" s="22"/>
      <c r="O59" s="20" t="str">
        <f t="shared" si="6"/>
        <v/>
      </c>
      <c r="P59" s="20" t="str">
        <f t="shared" si="7"/>
        <v/>
      </c>
      <c r="Q59" s="20" t="str">
        <f t="shared" si="8"/>
        <v/>
      </c>
      <c r="R59" s="20" t="str">
        <f t="shared" si="9"/>
        <v/>
      </c>
      <c r="S59" s="2"/>
      <c r="T59" s="2"/>
      <c r="U59" s="2"/>
    </row>
    <row r="60" spans="1:21" s="4" customFormat="1" x14ac:dyDescent="0.3">
      <c r="A60" s="29">
        <v>7</v>
      </c>
      <c r="B60" s="21" t="s">
        <v>91</v>
      </c>
      <c r="C60" s="37" t="s">
        <v>98</v>
      </c>
      <c r="D60" s="21"/>
      <c r="E60" s="53"/>
      <c r="F60" s="20" t="str">
        <f t="shared" si="0"/>
        <v/>
      </c>
      <c r="G60" s="20" t="str">
        <f t="shared" si="1"/>
        <v/>
      </c>
      <c r="H60" s="22"/>
      <c r="I60" s="20" t="str">
        <f t="shared" si="2"/>
        <v/>
      </c>
      <c r="J60" s="20" t="str">
        <f t="shared" si="3"/>
        <v/>
      </c>
      <c r="K60" s="22"/>
      <c r="L60" s="20" t="str">
        <f t="shared" si="4"/>
        <v/>
      </c>
      <c r="M60" s="20" t="str">
        <f t="shared" si="5"/>
        <v/>
      </c>
      <c r="N60" s="22"/>
      <c r="O60" s="20" t="str">
        <f t="shared" si="6"/>
        <v/>
      </c>
      <c r="P60" s="20" t="str">
        <f t="shared" si="7"/>
        <v/>
      </c>
      <c r="Q60" s="20" t="str">
        <f t="shared" si="8"/>
        <v/>
      </c>
      <c r="R60" s="20" t="str">
        <f t="shared" si="9"/>
        <v/>
      </c>
      <c r="S60" s="2"/>
      <c r="T60" s="2"/>
      <c r="U60" s="2"/>
    </row>
    <row r="61" spans="1:21" s="4" customFormat="1" ht="31.2" x14ac:dyDescent="0.3">
      <c r="A61" s="29">
        <v>8</v>
      </c>
      <c r="B61" s="21" t="s">
        <v>92</v>
      </c>
      <c r="C61" s="37" t="s">
        <v>50</v>
      </c>
      <c r="D61" s="21"/>
      <c r="E61" s="53"/>
      <c r="F61" s="20" t="str">
        <f t="shared" si="0"/>
        <v/>
      </c>
      <c r="G61" s="20" t="str">
        <f t="shared" si="1"/>
        <v/>
      </c>
      <c r="H61" s="22"/>
      <c r="I61" s="20" t="str">
        <f t="shared" si="2"/>
        <v/>
      </c>
      <c r="J61" s="20" t="str">
        <f t="shared" si="3"/>
        <v/>
      </c>
      <c r="K61" s="22"/>
      <c r="L61" s="20" t="str">
        <f t="shared" si="4"/>
        <v/>
      </c>
      <c r="M61" s="20" t="str">
        <f t="shared" si="5"/>
        <v/>
      </c>
      <c r="N61" s="22"/>
      <c r="O61" s="20" t="str">
        <f t="shared" si="6"/>
        <v/>
      </c>
      <c r="P61" s="20" t="str">
        <f t="shared" si="7"/>
        <v/>
      </c>
      <c r="Q61" s="20" t="str">
        <f t="shared" si="8"/>
        <v/>
      </c>
      <c r="R61" s="20" t="str">
        <f t="shared" si="9"/>
        <v/>
      </c>
      <c r="S61" s="2"/>
      <c r="T61" s="2"/>
      <c r="U61" s="2"/>
    </row>
    <row r="62" spans="1:21" s="4" customFormat="1" ht="31.2" x14ac:dyDescent="0.3">
      <c r="A62" s="44">
        <v>9</v>
      </c>
      <c r="B62" s="44" t="s">
        <v>93</v>
      </c>
      <c r="C62" s="43" t="s">
        <v>51</v>
      </c>
      <c r="D62" s="21"/>
      <c r="E62" s="53"/>
      <c r="F62" s="20" t="str">
        <f t="shared" si="0"/>
        <v/>
      </c>
      <c r="G62" s="20" t="str">
        <f t="shared" si="1"/>
        <v/>
      </c>
      <c r="H62" s="22"/>
      <c r="I62" s="20" t="str">
        <f t="shared" si="2"/>
        <v/>
      </c>
      <c r="J62" s="20" t="str">
        <f t="shared" si="3"/>
        <v/>
      </c>
      <c r="K62" s="22"/>
      <c r="L62" s="20" t="str">
        <f t="shared" si="4"/>
        <v/>
      </c>
      <c r="M62" s="20" t="str">
        <f t="shared" si="5"/>
        <v/>
      </c>
      <c r="N62" s="22"/>
      <c r="O62" s="20" t="str">
        <f t="shared" si="6"/>
        <v/>
      </c>
      <c r="P62" s="20" t="str">
        <f t="shared" si="7"/>
        <v/>
      </c>
      <c r="Q62" s="20" t="str">
        <f t="shared" si="8"/>
        <v/>
      </c>
      <c r="R62" s="20" t="str">
        <f t="shared" si="9"/>
        <v/>
      </c>
      <c r="S62" s="2"/>
      <c r="T62" s="2"/>
      <c r="U62" s="2"/>
    </row>
    <row r="63" spans="1:21" hidden="1" x14ac:dyDescent="0.3">
      <c r="A63" s="33" t="s">
        <v>100</v>
      </c>
      <c r="B63" s="52" t="s">
        <v>102</v>
      </c>
      <c r="C63" s="51" t="s">
        <v>101</v>
      </c>
      <c r="D63" s="59"/>
      <c r="E63" s="60"/>
      <c r="F63" s="61" t="str">
        <f t="shared" ref="F63" si="22">IF(OR(D63&lt;&gt;0,E63&lt;&gt;0),E63-D63,"")</f>
        <v/>
      </c>
      <c r="G63" s="61" t="str">
        <f t="shared" ref="G63" si="23">IF(OR(ISBLANK(F63), F63="",AND(D63=0,F63=0)), "", IF(AND(D63=0, F63&gt;0), 100, IF(AND(D63&gt;0, F63=0), 0, ROUND((F63/D63)*100, 3))))</f>
        <v/>
      </c>
      <c r="H63" s="62"/>
      <c r="I63" s="61"/>
      <c r="J63" s="61"/>
      <c r="K63" s="62"/>
      <c r="L63" s="61"/>
      <c r="M63" s="61"/>
      <c r="N63" s="62"/>
      <c r="O63" s="61" t="str">
        <f t="shared" ref="O63" si="24">IF(OR(K63&lt;&gt;0,N63&lt;&gt;0),N63-K63,"")</f>
        <v/>
      </c>
      <c r="P63" s="61" t="str">
        <f t="shared" ref="P63" si="25">IF(OR(ISBLANK(O63), O63="",AND(K63=0,O63=0)), "", IF(AND(K63=0, O63&gt;0), 100, IF(AND(K63&gt;0, O63=0), 0, ROUND((O63/K63)*100, 3))))</f>
        <v/>
      </c>
      <c r="Q63" s="61" t="str">
        <f t="shared" ref="Q63" si="26">IF(OR(N63&lt;&gt;0,D63&lt;&gt;0),N63-D63,"")</f>
        <v/>
      </c>
      <c r="R63" s="61" t="str">
        <f t="shared" ref="R63" si="27">IF(OR(ISBLANK(Q63), Q63="",AND(D63=0,Q63=0)), "", IF(AND(D63=0, Q63&gt;0), 100, IF(AND(D63&gt;0, Q63=0), 0, ROUND((Q63/D63)*100, 3))))</f>
        <v/>
      </c>
    </row>
    <row r="64" spans="1:21" x14ac:dyDescent="0.3">
      <c r="A64" s="7"/>
      <c r="B64" s="7"/>
      <c r="C64" s="7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</row>
    <row r="65" spans="1:23" ht="21" customHeight="1" x14ac:dyDescent="0.3">
      <c r="A65" s="8"/>
      <c r="B65" s="8"/>
      <c r="C65" s="26"/>
      <c r="H65" s="11"/>
      <c r="I65" s="73"/>
      <c r="J65" s="73"/>
      <c r="K65" s="73"/>
      <c r="L65" s="73"/>
      <c r="M65" s="73"/>
      <c r="N65" s="73"/>
      <c r="O65" s="73"/>
      <c r="P65" s="18"/>
      <c r="Q65" s="18"/>
      <c r="R65" s="18"/>
      <c r="S65" s="18"/>
      <c r="T65" s="18"/>
      <c r="U65" s="18"/>
      <c r="V65" s="18"/>
      <c r="W65" s="18"/>
    </row>
    <row r="66" spans="1:23" ht="16.8" customHeight="1" x14ac:dyDescent="0.3">
      <c r="A66" s="9"/>
      <c r="B66" s="9"/>
      <c r="C66" s="26"/>
      <c r="H66" s="10"/>
      <c r="I66" s="73"/>
      <c r="J66" s="73"/>
      <c r="K66" s="73"/>
      <c r="L66" s="73"/>
      <c r="M66" s="73"/>
      <c r="N66" s="73"/>
      <c r="O66" s="73"/>
      <c r="P66" s="19"/>
      <c r="Q66" s="19"/>
      <c r="R66" s="19"/>
      <c r="S66" s="19"/>
      <c r="T66" s="19"/>
      <c r="U66" s="19"/>
      <c r="V66" s="19"/>
      <c r="W66" s="19"/>
    </row>
    <row r="67" spans="1:23" ht="18" customHeight="1" x14ac:dyDescent="0.3">
      <c r="A67" s="2"/>
      <c r="B67" s="2"/>
      <c r="C67" s="25"/>
      <c r="D67" s="2"/>
      <c r="E67" s="2"/>
      <c r="F67" s="2"/>
      <c r="I67" s="88"/>
      <c r="J67" s="88"/>
      <c r="K67" s="88"/>
      <c r="L67" s="88"/>
      <c r="M67" s="88"/>
      <c r="N67" s="88"/>
      <c r="O67" s="88"/>
      <c r="P67" s="17"/>
      <c r="Q67" s="17"/>
      <c r="S67" s="17"/>
      <c r="T67" s="17"/>
      <c r="U67" s="17"/>
      <c r="V67" s="17"/>
      <c r="W67" s="17"/>
    </row>
  </sheetData>
  <mergeCells count="37">
    <mergeCell ref="I66:O66"/>
    <mergeCell ref="I67:O67"/>
    <mergeCell ref="Q9:R9"/>
    <mergeCell ref="J7:R7"/>
    <mergeCell ref="F9:G9"/>
    <mergeCell ref="H9:H11"/>
    <mergeCell ref="I9:J9"/>
    <mergeCell ref="K9:K11"/>
    <mergeCell ref="L9:M9"/>
    <mergeCell ref="F10:F11"/>
    <mergeCell ref="G10:G11"/>
    <mergeCell ref="I10:I11"/>
    <mergeCell ref="J10:J11"/>
    <mergeCell ref="L10:L11"/>
    <mergeCell ref="J1:R1"/>
    <mergeCell ref="A6:R6"/>
    <mergeCell ref="I65:O65"/>
    <mergeCell ref="Q10:Q11"/>
    <mergeCell ref="N8:R8"/>
    <mergeCell ref="M10:M11"/>
    <mergeCell ref="O10:O11"/>
    <mergeCell ref="P10:P11"/>
    <mergeCell ref="R10:R11"/>
    <mergeCell ref="N9:N11"/>
    <mergeCell ref="O9:P9"/>
    <mergeCell ref="H8:J8"/>
    <mergeCell ref="K8:M8"/>
    <mergeCell ref="E9:E11"/>
    <mergeCell ref="A2:R2"/>
    <mergeCell ref="A5:R5"/>
    <mergeCell ref="D8:D11"/>
    <mergeCell ref="E3:J3"/>
    <mergeCell ref="B8:B11"/>
    <mergeCell ref="A3:C3"/>
    <mergeCell ref="A8:A11"/>
    <mergeCell ref="C8:C11"/>
    <mergeCell ref="E8:G8"/>
  </mergeCells>
  <conditionalFormatting sqref="H13">
    <cfRule type="expression" dxfId="9" priority="9">
      <formula>$H$13 &lt;&gt;$H$63</formula>
    </cfRule>
  </conditionalFormatting>
  <conditionalFormatting sqref="K13">
    <cfRule type="expression" dxfId="8" priority="8">
      <formula>$K$13&lt;&gt;$K$63</formula>
    </cfRule>
  </conditionalFormatting>
  <conditionalFormatting sqref="N13">
    <cfRule type="expression" dxfId="7" priority="7">
      <formula>$N$13&lt;&gt;$N$63</formula>
    </cfRule>
  </conditionalFormatting>
  <conditionalFormatting sqref="E13">
    <cfRule type="expression" dxfId="6" priority="5">
      <formula>$E$13&lt;&gt;$E$63</formula>
    </cfRule>
  </conditionalFormatting>
  <conditionalFormatting sqref="D13">
    <cfRule type="expression" dxfId="5" priority="1">
      <formula>$D$13&lt;&gt;$D$63</formula>
    </cfRule>
  </conditionalFormatting>
  <pageMargins left="0.25" right="0.25" top="0.75" bottom="0.75" header="0.3" footer="0.3"/>
  <pageSetup scale="4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Administrator</cp:lastModifiedBy>
  <cp:lastPrinted>2026-07-01T03:11:08Z</cp:lastPrinted>
  <dcterms:created xsi:type="dcterms:W3CDTF">2024-08-05T01:43:59Z</dcterms:created>
  <dcterms:modified xsi:type="dcterms:W3CDTF">2026-07-01T07:04:50Z</dcterms:modified>
</cp:coreProperties>
</file>
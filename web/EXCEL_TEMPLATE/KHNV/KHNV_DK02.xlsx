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2"/>
  <workbookPr/>
  <bookViews>
    <workbookView xWindow="-120" yWindow="-120" windowWidth="19440" windowHeight="11280"/>
  </bookViews>
  <sheets>
    <sheet name="BIEU 02 -2022" sheetId="1" r:id="rId1"/>
  </sheets>
  <definedNames>
    <definedName name="_xlnm.Print_Area" localSheetId="0">'BIEU 02 -2022'!$A$1:$H$190</definedName>
    <definedName name="_xlnm.Print_Titles" localSheetId="0">'BIEU 02 -2022'!$7:$11</definedName>
  </definedNames>
  <calcPr calcId="144525"/>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51" i="1" l="1"/>
  <c r="F51" i="1"/>
  <c r="E51" i="1"/>
  <c r="D51" i="1"/>
  <c r="D25" i="1" s="1"/>
  <c r="G21" i="1" l="1"/>
  <c r="E21" i="1"/>
  <c r="D21" i="1"/>
  <c r="E15" i="1"/>
  <c r="G60" i="1"/>
  <c r="G25" i="1"/>
  <c r="G15" i="1"/>
  <c r="E60" i="1"/>
  <c r="E25" i="1"/>
  <c r="E24" i="1"/>
  <c r="D60" i="1"/>
  <c r="D15" i="1"/>
  <c r="E14" i="1" l="1"/>
  <c r="E13" i="1" s="1"/>
  <c r="E12" i="1" s="1"/>
  <c r="G24" i="1"/>
  <c r="G14" i="1" s="1"/>
  <c r="G13" i="1" s="1"/>
  <c r="G12" i="1" s="1"/>
  <c r="H12" i="1" s="1"/>
  <c r="D24" i="1"/>
  <c r="D14" i="1" s="1"/>
  <c r="D13" i="1" s="1"/>
  <c r="D12" i="1" s="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4" i="1"/>
  <c r="H15" i="1"/>
  <c r="H16" i="1"/>
  <c r="H17" i="1"/>
  <c r="H18" i="1"/>
  <c r="H19" i="1"/>
  <c r="H20" i="1"/>
  <c r="H21" i="1"/>
  <c r="H22" i="1"/>
  <c r="H23" i="1"/>
  <c r="H25" i="1"/>
  <c r="H26" i="1"/>
  <c r="H27" i="1"/>
  <c r="H28" i="1"/>
  <c r="H29" i="1"/>
  <c r="H30" i="1"/>
  <c r="H31" i="1"/>
  <c r="H32" i="1"/>
  <c r="H33" i="1"/>
  <c r="H34" i="1"/>
  <c r="H35" i="1"/>
  <c r="H36" i="1"/>
  <c r="H37" i="1"/>
  <c r="H38" i="1"/>
  <c r="H39" i="1"/>
  <c r="H13" i="1" l="1"/>
  <c r="H24" i="1"/>
</calcChain>
</file>

<file path=xl/sharedStrings.xml><?xml version="1.0" encoding="utf-8"?>
<sst xmlns="http://schemas.openxmlformats.org/spreadsheetml/2006/main" count="323" uniqueCount="296">
  <si>
    <t>Biểu số 02/NHCS-KH</t>
  </si>
  <si>
    <t>(PGD lập gửi tỉnh, tỉnh tổng hợp gửi HSC)</t>
  </si>
  <si>
    <t>CỘNG HOÀ XÃ HỘI CHỦ NGHĨA VIỆT NAM</t>
  </si>
  <si>
    <r>
      <t>Độc l</t>
    </r>
    <r>
      <rPr>
        <b/>
        <u/>
        <sz val="12"/>
        <rFont val="Times New Roman"/>
        <family val="1"/>
      </rPr>
      <t xml:space="preserve">ập - Tự do - Hạnh </t>
    </r>
    <r>
      <rPr>
        <b/>
        <sz val="12"/>
        <rFont val="Times New Roman"/>
        <family val="1"/>
      </rPr>
      <t>phúc</t>
    </r>
  </si>
  <si>
    <t>KẾ HOẠCH TÍN DỤNG NĂM 2022</t>
  </si>
  <si>
    <t>Đơn vị: triệu đồng, %, hộ, người</t>
  </si>
  <si>
    <t>STT</t>
  </si>
  <si>
    <t>CHỈ TIÊU</t>
  </si>
  <si>
    <t>Thực hiện đến 31/12/2020</t>
  </si>
  <si>
    <t>Ước thực hiện đến 31/12/2021</t>
  </si>
  <si>
    <t>Kế hoạch tín dụng năm 2022</t>
  </si>
  <si>
    <t>Tăng, giảm so với 31/12/2021</t>
  </si>
  <si>
    <t>Số tuyệt đối (+/-)</t>
  </si>
  <si>
    <t>Số tương đối (%)</t>
  </si>
  <si>
    <t>5 = 4+6</t>
  </si>
  <si>
    <t xml:space="preserve">          </t>
  </si>
  <si>
    <t>…, ngày ….. tháng ….. năm ……..</t>
  </si>
  <si>
    <t xml:space="preserve">                     GIÁM ĐỐC</t>
  </si>
  <si>
    <t>TRƯỞNG BĐD HĐQT - NHCSXH</t>
  </si>
  <si>
    <t xml:space="preserve">                 (Ký tên, đóng dấu)</t>
  </si>
  <si>
    <t>(Ký tên, đóng dấu)</t>
  </si>
  <si>
    <t>Mô tả cách lấy dữ liệu Biểu số 02/NHCS-KH: (mẫu biểu tự động)</t>
  </si>
  <si>
    <t>Cột 2 - Chỉ tiêu: Liệt kê các chỉ tiêu theo nguồn vốn, sử dụng vốn theo chi tiết bảng đính kèm, trường hợp bổ sung các nguồn vốn hoặc các chương trình cho vay mới sẽ được cập nhật bổ sung. Các chi tiêu này thống nhất với biểu số 01a/NHCS-KH tại mục A,B và mẫu 01/NHCS-KH mục A, B</t>
  </si>
  <si>
    <r>
      <t xml:space="preserve">Cột 3: Thực hiện: Số liệu mục I, mục II được lấy tự động và không cho phép chỉnh sửa. Số liệu này cũng phải bằng tổng dư nợ của các xã trên biểu số 01/NHCS-KH. Số liệu mục C. THUYẾT MINH số liệu được tổng hợp từ các biểu số 01/NHCS-KH đã nhập tay </t>
    </r>
    <r>
      <rPr>
        <sz val="12"/>
        <color indexed="10"/>
        <rFont val="Times New Roman"/>
        <family val="1"/>
      </rPr>
      <t>hoặc cho phép người dùng nhập tay và có thể chỉnh sửa số liệu</t>
    </r>
    <r>
      <rPr>
        <sz val="12"/>
        <rFont val="Times New Roman"/>
        <family val="1"/>
      </rPr>
      <t xml:space="preserve"> </t>
    </r>
  </si>
  <si>
    <r>
      <t>Cột 4 - Ước thực hiện:  Cho phép người dùng có thể lựa chọn một trong 2 cách: Cách 1: Số liệu được tổng hợp tự động từ số liệu của các thôn trên biểu số 02 a/NHCS-KH và c</t>
    </r>
    <r>
      <rPr>
        <sz val="12"/>
        <color indexed="10"/>
        <rFont val="Times New Roman"/>
        <family val="1"/>
      </rPr>
      <t>ó thể cho phép chỉnh sửa</t>
    </r>
    <r>
      <rPr>
        <sz val="12"/>
        <rFont val="Times New Roman"/>
        <family val="1"/>
      </rPr>
      <t>. Cách 2: Số liệu được người dùng cấp PGD tổng hợp nhập thủ công. Hệ thống hỗ trợ lấy số ước thực hiện của năm đến thời điểm gần nhất khi người dùng tạo dữ liệu, dữ liệu cho phép chỉnh sửa tăng hoặc giảm.</t>
    </r>
  </si>
  <si>
    <t>Cột 5 - Tổng số = cột 4 + cột 6</t>
  </si>
  <si>
    <t xml:space="preserve">Cột 6 -  Số tuyệt đối (+/-): Được tổng hợp tự động từ biểu số 01/NHCS-KH tương ứng với nhu cầu tín dụng của từng chương trình theo từng nguồn vốn. Số liệu không cho phép chỉnh sửa </t>
  </si>
  <si>
    <t xml:space="preserve">Cột 7: Số tương đối = (cột 6 /cột 4) x 100% </t>
  </si>
  <si>
    <t>MÃ CHỈ TIÊU</t>
  </si>
  <si>
    <t>NGÂN HÀNG CHÍNH SÁCH XÃ HỘI</t>
  </si>
  <si>
    <t>100</t>
  </si>
  <si>
    <t>XD00100</t>
  </si>
  <si>
    <t>NGUỒN VỐN</t>
  </si>
  <si>
    <t>101</t>
  </si>
  <si>
    <t>XD00101</t>
  </si>
  <si>
    <t>NGUỒN VỐN CÂN ĐỐI TỪ TRUNG ƯƠNG</t>
  </si>
  <si>
    <t>102</t>
  </si>
  <si>
    <t>XD00102</t>
  </si>
  <si>
    <t>Nguồn vốn cân đối chuyển từ Trung ương</t>
  </si>
  <si>
    <t>103</t>
  </si>
  <si>
    <t>XD00103</t>
  </si>
  <si>
    <t>Nguồn vốn huy động tại địa phương được TW cấp bù lãi suất</t>
  </si>
  <si>
    <t>104</t>
  </si>
  <si>
    <t>XD00104</t>
  </si>
  <si>
    <t>Tiền gửi của tổ chức, cá nhân</t>
  </si>
  <si>
    <t>105</t>
  </si>
  <si>
    <t>XD00105</t>
  </si>
  <si>
    <t xml:space="preserve">Tiền gửi tại Điểm giao dịch xã </t>
  </si>
  <si>
    <t>106</t>
  </si>
  <si>
    <t>XD00106</t>
  </si>
  <si>
    <t>Tiền gửi ký quỹ đi lao động tại Hàn Quốc</t>
  </si>
  <si>
    <t>107</t>
  </si>
  <si>
    <t>XD00107</t>
  </si>
  <si>
    <t>Tiền gửi tiết kiệm khi vay vốn nhà ở xã hội theo Nghị định 100/2015/NĐ-CP</t>
  </si>
  <si>
    <t>108</t>
  </si>
  <si>
    <t>XD00108</t>
  </si>
  <si>
    <t>Tiền gửi của Tổ viên Tổ Tiết kiệm và vay vốn</t>
  </si>
  <si>
    <t>109</t>
  </si>
  <si>
    <t>XD00109</t>
  </si>
  <si>
    <t>NGUỒN VỐN NHẬN ỦY THÁC ĐẦU TƯ TẠI ĐỊA PHƯƠNG</t>
  </si>
  <si>
    <t>110</t>
  </si>
  <si>
    <t>XD00110</t>
  </si>
  <si>
    <t xml:space="preserve">Nguồn vốn nhận ủy thác từ ngân sách địa phương </t>
  </si>
  <si>
    <t>111</t>
  </si>
  <si>
    <t>XD00111</t>
  </si>
  <si>
    <t>Nguồn vốn nhận ủy thác của các chủ đầu tư khác</t>
  </si>
  <si>
    <t>112</t>
  </si>
  <si>
    <t>XD00112</t>
  </si>
  <si>
    <t>SỬ DỤNG VỐN</t>
  </si>
  <si>
    <t>113</t>
  </si>
  <si>
    <t>XD00113</t>
  </si>
  <si>
    <t>DƯ NỢ NGUỒN VỐN TRUNG ƯƠNG</t>
  </si>
  <si>
    <t>114</t>
  </si>
  <si>
    <t>XD00003</t>
  </si>
  <si>
    <t>Cho vay hộ nghèo theo Nghị định số 78/2002/NĐ-CP</t>
  </si>
  <si>
    <t>115</t>
  </si>
  <si>
    <t>XD00004</t>
  </si>
  <si>
    <t>Cho vay hộ cận nghèo theo QĐ 15/2013/QĐ-TTg</t>
  </si>
  <si>
    <t>116</t>
  </si>
  <si>
    <t>XD00005</t>
  </si>
  <si>
    <t>Cho vay hộ mới thoát nghèo theo Quyết định số 28/2015/QĐ-TTg</t>
  </si>
  <si>
    <t>117</t>
  </si>
  <si>
    <t>XD00006</t>
  </si>
  <si>
    <t>Cho vay học sinh, sinh viên theo QĐ 157/2007/QĐ-TTg</t>
  </si>
  <si>
    <t>118</t>
  </si>
  <si>
    <t>XD00007</t>
  </si>
  <si>
    <t>Cho vay vốn Quỹ quốc gia về việc làm theo Nghị định 61/2015/NĐ-CP</t>
  </si>
  <si>
    <t>119</t>
  </si>
  <si>
    <t>XD00008</t>
  </si>
  <si>
    <t>Cho vay người lao động đi làm việc ở nước ngoài theo Quyết định số 365/QĐ-NHNN, Quyết định số 1465/QĐ-TTg, Quyết định số 63/2015/QĐ-TTg và Nghị định số 61/2015/NĐ-CP</t>
  </si>
  <si>
    <t>120</t>
  </si>
  <si>
    <t>XD00009</t>
  </si>
  <si>
    <t>121</t>
  </si>
  <si>
    <t>XD00010</t>
  </si>
  <si>
    <t>Cho vay xuất khẩu lao động tại huyện nghèo theo QĐ 71/2009/QĐ-TTg</t>
  </si>
  <si>
    <t>122</t>
  </si>
  <si>
    <t>XD00011</t>
  </si>
  <si>
    <t>Cho vay Chương trình NS-VSMT NT theo QĐ 62/2004/QĐ-TTg</t>
  </si>
  <si>
    <t>123</t>
  </si>
  <si>
    <t>XD00012</t>
  </si>
  <si>
    <t>Cho vay hộ gia đình SXKD tại VKK theo QĐ 31/2007/QĐ-TTg</t>
  </si>
  <si>
    <t>124</t>
  </si>
  <si>
    <t>XD00013</t>
  </si>
  <si>
    <t>Cho vay mua trả chậm nhà ở vùng ĐBSCL và Tây Nguyên</t>
  </si>
  <si>
    <t>125</t>
  </si>
  <si>
    <t>XD00014</t>
  </si>
  <si>
    <t>Cho vay xây dựng cụm tuyến dân cư và nhà ở vùng ngập lũ ĐBSCL giai đoạn 2018-2020 (QĐ 714/QĐ-TTg)</t>
  </si>
  <si>
    <t>126</t>
  </si>
  <si>
    <t>XD00015</t>
  </si>
  <si>
    <t>Cho vay hộ đồng bào DTTS ĐBKK theo QĐ 54/2012/QĐ-TTg (QĐ 32/2007/QĐ-TTg)</t>
  </si>
  <si>
    <t>127</t>
  </si>
  <si>
    <t>XD00016</t>
  </si>
  <si>
    <t>Cho vay đồng bào DTTS vùng ĐBSCL theo QĐ 29/2013/QĐ-TTg (QĐ 74/2008/QĐ-TTg)</t>
  </si>
  <si>
    <t>128</t>
  </si>
  <si>
    <t>XD00017</t>
  </si>
  <si>
    <t>Cho vay đồng bào DTTS theo QĐ 755/QĐ-TTg</t>
  </si>
  <si>
    <t>129</t>
  </si>
  <si>
    <t>XD00018</t>
  </si>
  <si>
    <t>Cho vay hỗ trợ hộ nghèo về nhà ở theo QĐ 167/2008/QĐ-TTg</t>
  </si>
  <si>
    <t>130</t>
  </si>
  <si>
    <t>XD00019</t>
  </si>
  <si>
    <t xml:space="preserve">Cho vay hỗ trợ hộ nghèo về nhà ở theo QĐ 33/2015/QĐ-TTg </t>
  </si>
  <si>
    <t>131</t>
  </si>
  <si>
    <t>XD00020</t>
  </si>
  <si>
    <t>Cho vay thương nhân tại VKK theo QĐ 92/2009/QĐ-TTg</t>
  </si>
  <si>
    <t>132</t>
  </si>
  <si>
    <t>XD00021</t>
  </si>
  <si>
    <t xml:space="preserve">Cho vay hỗ trợ hộ nghèo xây dựng nhà ở phòng, tránh bão, lụt khu vực miền Trung theo QĐ 48/2014/QĐ-TTg </t>
  </si>
  <si>
    <t>133</t>
  </si>
  <si>
    <t>XD00022</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</si>
  <si>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</si>
  <si>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134</t>
  </si>
  <si>
    <t>XD00023</t>
  </si>
  <si>
    <t>Cho vay nhà ở xã hội theo NĐ 100/2015/NĐ-CP</t>
  </si>
  <si>
    <t>135</t>
  </si>
  <si>
    <t>XD00024</t>
  </si>
  <si>
    <t>Trong đó: nhà ở công nhân trong khu công nghiệp</t>
  </si>
  <si>
    <t>136</t>
  </si>
  <si>
    <t>XD00025</t>
  </si>
  <si>
    <t xml:space="preserve">Cho vay trồng rừng sản xuất, phát triển chăn nuôi theo NĐ 75/2015/NĐ-CP </t>
  </si>
  <si>
    <t>137</t>
  </si>
  <si>
    <t>XD00026</t>
  </si>
  <si>
    <t>Cho vay hỗ trợ phát triển kinh tế - xã hội vùng dân tộc thiểu số và miền núi giai đoạn 2017 - 2020 theo Quyết định số 2085/QĐ-TTg</t>
  </si>
  <si>
    <t>138</t>
  </si>
  <si>
    <t>XD00027</t>
  </si>
  <si>
    <t>Cho vay thanh niên xung phong cơ sở ở miền Nam tham gia kháng chiến giai đoạn 1965-1975</t>
  </si>
  <si>
    <t>139</t>
  </si>
  <si>
    <t>XD00028</t>
  </si>
  <si>
    <t>Cho vay một số dự án vốn nước ngoài khác</t>
  </si>
  <si>
    <t>140</t>
  </si>
  <si>
    <t>XD00029</t>
  </si>
  <si>
    <t xml:space="preserve">- Cho vay dự án IFAD </t>
  </si>
  <si>
    <t>141</t>
  </si>
  <si>
    <t>XD00030</t>
  </si>
  <si>
    <t>- Cho vay dự án RIDP</t>
  </si>
  <si>
    <t>142</t>
  </si>
  <si>
    <t>XD00031</t>
  </si>
  <si>
    <t xml:space="preserve"> - Cho vay Phát triển DN vừa và nhỏ (Dự án KFW)</t>
  </si>
  <si>
    <t>143</t>
  </si>
  <si>
    <t>XD00032</t>
  </si>
  <si>
    <t xml:space="preserve"> - Cho vay Phát triển ngành Lâm nghiệp (Dự án FSDP)</t>
  </si>
  <si>
    <t>144</t>
  </si>
  <si>
    <t>XD00033</t>
  </si>
  <si>
    <t>- Cho vay dự án HIV/AIDS</t>
  </si>
  <si>
    <t>145</t>
  </si>
  <si>
    <t>XD00034</t>
  </si>
  <si>
    <t>- Cho vay dự án NIPPON (Mở rộng tài chính cho người khuyết tật)</t>
  </si>
  <si>
    <t>146</t>
  </si>
  <si>
    <t>XD00035</t>
  </si>
  <si>
    <t>- Cho vay dự án CWPD</t>
  </si>
  <si>
    <t>147</t>
  </si>
  <si>
    <t>XD00036</t>
  </si>
  <si>
    <t>Cho vay các đối tượng chính sách khác</t>
  </si>
  <si>
    <t>148</t>
  </si>
  <si>
    <t>XD00148</t>
  </si>
  <si>
    <t>DƯ NỢ NGUỒN VỐN ĐỊA PHƯƠNG</t>
  </si>
  <si>
    <t>149</t>
  </si>
  <si>
    <t>XD00038</t>
  </si>
  <si>
    <t>150</t>
  </si>
  <si>
    <t>XD00039</t>
  </si>
  <si>
    <t>151</t>
  </si>
  <si>
    <t>XD00040</t>
  </si>
  <si>
    <t>152</t>
  </si>
  <si>
    <t>XD00041</t>
  </si>
  <si>
    <t>153</t>
  </si>
  <si>
    <t>XD00042</t>
  </si>
  <si>
    <t>154</t>
  </si>
  <si>
    <t>XD00043</t>
  </si>
  <si>
    <t>155</t>
  </si>
  <si>
    <t>XD00044</t>
  </si>
  <si>
    <t>156</t>
  </si>
  <si>
    <t>XD00045</t>
  </si>
  <si>
    <t>157</t>
  </si>
  <si>
    <t>XD00046</t>
  </si>
  <si>
    <t>158</t>
  </si>
  <si>
    <t>XD00047</t>
  </si>
  <si>
    <t>159</t>
  </si>
  <si>
    <t>XD00048</t>
  </si>
  <si>
    <t>160</t>
  </si>
  <si>
    <t>XD00049</t>
  </si>
  <si>
    <t>161</t>
  </si>
  <si>
    <t>XD00050</t>
  </si>
  <si>
    <t>162</t>
  </si>
  <si>
    <t>XD00051</t>
  </si>
  <si>
    <t>163</t>
  </si>
  <si>
    <t>XD00052</t>
  </si>
  <si>
    <t>164</t>
  </si>
  <si>
    <t>XD00053</t>
  </si>
  <si>
    <t>165</t>
  </si>
  <si>
    <t>XD00054</t>
  </si>
  <si>
    <t>166</t>
  </si>
  <si>
    <t>XD00055</t>
  </si>
  <si>
    <t>167</t>
  </si>
  <si>
    <t>XD00056</t>
  </si>
  <si>
    <t>168</t>
  </si>
  <si>
    <t>XD00057</t>
  </si>
  <si>
    <t>169</t>
  </si>
  <si>
    <t>XD00058</t>
  </si>
  <si>
    <t>170</t>
  </si>
  <si>
    <t>XD00059</t>
  </si>
  <si>
    <t>171</t>
  </si>
  <si>
    <t>XD00060</t>
  </si>
  <si>
    <t>172</t>
  </si>
  <si>
    <t>XD00061</t>
  </si>
  <si>
    <t>173</t>
  </si>
  <si>
    <t>XD00062</t>
  </si>
  <si>
    <t>174</t>
  </si>
  <si>
    <t>XD00063</t>
  </si>
  <si>
    <t>175</t>
  </si>
  <si>
    <t>XD00175</t>
  </si>
  <si>
    <t>QUỸ AN TOÀN CHI TRẢ</t>
  </si>
  <si>
    <t>176</t>
  </si>
  <si>
    <t>XD00176</t>
  </si>
  <si>
    <t xml:space="preserve">THUYẾT MINH MỘT SỐ CHỈ TIÊU </t>
  </si>
  <si>
    <t>177</t>
  </si>
  <si>
    <t>XD00067</t>
  </si>
  <si>
    <t xml:space="preserve">Số hộ nghèo theo chuẩn hộ nghèo (giai đoạn 2021-2025) </t>
  </si>
  <si>
    <t>178</t>
  </si>
  <si>
    <t>XD00068</t>
  </si>
  <si>
    <t xml:space="preserve">Số hộ nghèo đang còn dư nợ NHCSXH </t>
  </si>
  <si>
    <t>179</t>
  </si>
  <si>
    <t>XD00069</t>
  </si>
  <si>
    <t xml:space="preserve">Số hộ nghèo đủ điều kiện vay vốn nhưng chưa được vay vốn NHCSXH </t>
  </si>
  <si>
    <t>180</t>
  </si>
  <si>
    <t>XD00070</t>
  </si>
  <si>
    <t xml:space="preserve">Số hộ cận nghèo theo chuẩn hộ cận nghèo (giai đoạn 2021-2025) </t>
  </si>
  <si>
    <t>181</t>
  </si>
  <si>
    <t>XD00071</t>
  </si>
  <si>
    <t xml:space="preserve">Số hộ cận nghèo đang còn dư nợ NHCSXH </t>
  </si>
  <si>
    <t>182</t>
  </si>
  <si>
    <t>XD00072</t>
  </si>
  <si>
    <t xml:space="preserve">Số hộ cận nghèo đủ điều kiện vay vốn nhưng chưa được vay vốn NHCSXH </t>
  </si>
  <si>
    <t>183</t>
  </si>
  <si>
    <t>XD00073</t>
  </si>
  <si>
    <t>Số hộ mới thoát nghèo (giai đoạn 2019-2021)</t>
  </si>
  <si>
    <t>184</t>
  </si>
  <si>
    <t>XD00074</t>
  </si>
  <si>
    <t>Số hộ gia đình sản xuất kinh doanh vùng khó khăn trên địa bàn</t>
  </si>
  <si>
    <t>185</t>
  </si>
  <si>
    <t>XD00075</t>
  </si>
  <si>
    <t xml:space="preserve">Số hộ gia đình SXKD đang còn dư nợ NHCSXH </t>
  </si>
  <si>
    <t>186</t>
  </si>
  <si>
    <t>XD00076</t>
  </si>
  <si>
    <t xml:space="preserve">Số hộ gia đình SXKD đủ điều kiện vay vốn nhưng chưa được vay vốn NHCSXH </t>
  </si>
  <si>
    <t>187</t>
  </si>
  <si>
    <t>XD00077</t>
  </si>
  <si>
    <t xml:space="preserve">Số thương nhân hoạt động thương mại tại vùng khó khăn </t>
  </si>
  <si>
    <t>188</t>
  </si>
  <si>
    <t>XD00078</t>
  </si>
  <si>
    <t xml:space="preserve">Tổng số HSSV theo học các Trường ĐH, CĐ, THCN và dạy nghề </t>
  </si>
  <si>
    <t>189</t>
  </si>
  <si>
    <t>XD00079</t>
  </si>
  <si>
    <t xml:space="preserve">Số HSSV đang còn dư nợ NHCSXH </t>
  </si>
  <si>
    <t>190</t>
  </si>
  <si>
    <t>XD00080</t>
  </si>
  <si>
    <t xml:space="preserve">Số lao động có nhu cầu vay vốn giải quyết việc làm </t>
  </si>
  <si>
    <t>191</t>
  </si>
  <si>
    <t>XD00081</t>
  </si>
  <si>
    <t>Số lao động được vay vốn giải quyết việc làm trong năm</t>
  </si>
  <si>
    <t>192</t>
  </si>
  <si>
    <t>XD00082</t>
  </si>
  <si>
    <t>Số lao động dự kiến được thu hút từ vay vốn giải quyết việc làm</t>
  </si>
  <si>
    <t>193</t>
  </si>
  <si>
    <t>XD00083</t>
  </si>
  <si>
    <t xml:space="preserve">Tổng số lao động có nhu cầu vay vốn đi lao động có thời hạn ở nước ngoài </t>
  </si>
  <si>
    <t>194</t>
  </si>
  <si>
    <t>XD00084</t>
  </si>
  <si>
    <t>Số công trình NS-VSMT NT dự kiến được xây dựng từ nguồn vốn vay NHCSXH</t>
  </si>
  <si>
    <t>195</t>
  </si>
  <si>
    <t>XD00195</t>
  </si>
  <si>
    <t>Tổng số xã trên địa bàn</t>
  </si>
  <si>
    <t>196</t>
  </si>
  <si>
    <t>XD00196</t>
  </si>
  <si>
    <t xml:space="preserve"> Số xã thuộc vùng khó khăn</t>
  </si>
  <si>
    <t>PGD huyện …</t>
  </si>
  <si>
    <t>Trong đó: Cho vay để ký quỹ đối với người lao động đi làm việc tại Hàn Quốc</t>
  </si>
</sst>
</file>

<file path=xl/styles.xml><?xml version="1.0" encoding="utf-8"?>
<styleSheet xmlns="http://schemas.openxmlformats.org/spreadsheetml/2006/main" xmlns:mc="http://schemas.openxmlformats.org/markup-compatibility/2006" xmlns:x14ac="http://schemas.microsoft.com/office/spreadsheetml/2009/9/ac" mc:Ignorable="x14ac">
  <fonts count="16" x14ac:knownFonts="1">
    <font>
      <sz val="10"/>
      <name val="Arial"/>
      <family val="2"/>
    </font>
    <font>
      <sz val="10"/>
      <name val="Times New Roman"/>
      <family val="1"/>
    </font>
    <font>
      <sz val="12"/>
      <name val="Times New Roman"/>
      <family val="1"/>
    </font>
    <font>
      <b/>
      <sz val="12"/>
      <name val="Times New Roman"/>
      <family val="1"/>
    </font>
    <font>
      <b/>
      <sz val="10"/>
      <name val="Times New Roman"/>
      <family val="1"/>
    </font>
    <font>
      <i/>
      <sz val="12"/>
      <name val="Times New Roman"/>
      <family val="1"/>
    </font>
    <font>
      <b/>
      <u/>
      <sz val="12"/>
      <name val="Times New Roman"/>
      <family val="1"/>
    </font>
    <font>
      <b/>
      <sz val="14"/>
      <name val="Times New Roman"/>
      <family val="1"/>
    </font>
    <font>
      <i/>
      <sz val="10"/>
      <name val="Times New Roman"/>
      <family val="1"/>
    </font>
    <font>
      <b/>
      <sz val="11"/>
      <name val="Times New Roman"/>
      <family val="1"/>
    </font>
    <font>
      <sz val="11"/>
      <name val="Times New Roman"/>
      <family val="1"/>
    </font>
    <font>
      <sz val="12"/>
      <name val=".VnTime"/>
      <family val="2"/>
    </font>
    <font>
      <i/>
      <sz val="11"/>
      <name val="Times New Roman"/>
      <family val="1"/>
    </font>
    <font>
      <sz val="12"/>
      <color indexed="10"/>
      <name val="Times New Roman"/>
      <family val="1"/>
    </font>
    <font>
      <i/>
      <sz val="12"/>
      <name val="Times New Roman"/>
      <family val="1"/>
      <charset val="163"/>
    </font>
    <font>
      <b/>
      <sz val="12"/>
      <name val="Times New Roman"/>
      <family val="1"/>
      <charset val="163"/>
    </font>
  </fonts>
  <fills count="4">
    <fill>
      <patternFill patternType="none"/>
    </fill>
    <fill>
      <patternFill patternType="gray125"/>
    </fill>
    <fill>
      <patternFill patternType="solid">
        <fgColor indexed="22"/>
      </patternFill>
    </fill>
    <fill>
      <patternFill patternType="solid">
        <fgColor indexed="2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s>
  <cellStyleXfs count="2">
    <xf numFmtId="0" fontId="0" fillId="0" borderId="0"/>
    <xf numFmtId="0" fontId="11" fillId="0" borderId="0"/>
  </cellStyleXfs>
  <cellXfs count="64">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3" fillId="0" borderId="0" xfId="0" applyFont="1" applyAlignment="1">
      <alignment horizontal="left" vertical="center"/>
    </xf>
    <xf numFmtId="0" fontId="8" fillId="0" borderId="1" xfId="0" applyFont="1" applyBorder="1" applyAlignment="1">
      <alignment horizontal="center" vertical="center" wrapText="1"/>
    </xf>
    <xf numFmtId="0" fontId="10" fillId="0" borderId="0" xfId="0" applyFont="1" applyAlignment="1">
      <alignment vertical="center"/>
    </xf>
    <xf numFmtId="0" fontId="12" fillId="0" borderId="0" xfId="0" applyFont="1" applyAlignment="1">
      <alignment vertical="center"/>
    </xf>
    <xf numFmtId="0" fontId="8" fillId="0" borderId="0" xfId="0" applyFont="1" applyAlignment="1">
      <alignment vertical="center"/>
    </xf>
    <xf numFmtId="0" fontId="5" fillId="0" borderId="0" xfId="0" applyFont="1" applyAlignment="1">
      <alignment horizontal="center" vertical="center"/>
    </xf>
    <xf numFmtId="0" fontId="5" fillId="0" borderId="0" xfId="0" applyFont="1" applyAlignment="1">
      <alignment vertical="center"/>
    </xf>
    <xf numFmtId="0" fontId="5" fillId="0" borderId="0" xfId="0" applyFont="1" applyAlignment="1">
      <alignment horizontal="right" vertical="center"/>
    </xf>
    <xf numFmtId="0" fontId="5" fillId="0" borderId="0" xfId="0" applyFont="1" applyAlignment="1">
      <alignment horizontal="center" vertical="center"/>
    </xf>
    <xf numFmtId="0" fontId="3" fillId="2" borderId="7" xfId="0" applyFont="1" applyFill="1" applyBorder="1" applyAlignment="1" applyProtection="1">
      <alignment horizontal="left" vertical="center" wrapText="1"/>
    </xf>
    <xf numFmtId="0" fontId="9" fillId="2" borderId="8" xfId="0" applyFont="1" applyFill="1" applyBorder="1" applyAlignment="1" applyProtection="1">
      <alignment horizontal="left" vertical="center"/>
    </xf>
    <xf numFmtId="0" fontId="2" fillId="2" borderId="8" xfId="1" applyFont="1" applyFill="1" applyBorder="1" applyAlignment="1" applyProtection="1">
      <alignment horizontal="left" vertical="center" wrapText="1"/>
    </xf>
    <xf numFmtId="0" fontId="5" fillId="2" borderId="8" xfId="1" applyFont="1" applyFill="1" applyBorder="1" applyAlignment="1" applyProtection="1">
      <alignment horizontal="left" vertical="center" wrapText="1"/>
    </xf>
    <xf numFmtId="0" fontId="5" fillId="2" borderId="8" xfId="0" applyFont="1" applyFill="1" applyBorder="1" applyAlignment="1" applyProtection="1">
      <alignment horizontal="left"/>
    </xf>
    <xf numFmtId="0" fontId="2" fillId="2" borderId="8" xfId="0" applyFont="1" applyFill="1" applyBorder="1" applyAlignment="1" applyProtection="1">
      <alignment horizontal="left" vertical="center"/>
    </xf>
    <xf numFmtId="0" fontId="3" fillId="2" borderId="8" xfId="0" applyFont="1" applyFill="1" applyBorder="1" applyAlignment="1" applyProtection="1">
      <alignment horizontal="left" vertical="center"/>
    </xf>
    <xf numFmtId="0" fontId="2" fillId="3" borderId="8" xfId="0" applyFont="1" applyFill="1" applyBorder="1" applyAlignment="1" applyProtection="1">
      <alignment horizontal="left" vertical="center" wrapText="1"/>
    </xf>
    <xf numFmtId="0" fontId="5" fillId="3" borderId="8" xfId="0" applyFont="1" applyFill="1" applyBorder="1" applyAlignment="1" applyProtection="1">
      <alignment horizontal="left" vertical="center" wrapText="1"/>
    </xf>
    <xf numFmtId="0" fontId="5" fillId="0" borderId="10" xfId="0" applyFont="1" applyBorder="1" applyAlignment="1" applyProtection="1">
      <alignment horizontal="left" vertical="center"/>
    </xf>
    <xf numFmtId="4" fontId="2" fillId="0" borderId="8" xfId="0" applyNumberFormat="1" applyFont="1" applyBorder="1" applyAlignment="1" applyProtection="1">
      <alignment horizontal="right" vertical="center"/>
      <protection locked="0"/>
    </xf>
    <xf numFmtId="4" fontId="3" fillId="0" borderId="8" xfId="0" applyNumberFormat="1" applyFont="1" applyBorder="1" applyAlignment="1" applyProtection="1">
      <alignment horizontal="right" vertical="center"/>
      <protection locked="0"/>
    </xf>
    <xf numFmtId="4" fontId="5" fillId="0" borderId="8" xfId="0" applyNumberFormat="1" applyFont="1" applyBorder="1" applyAlignment="1" applyProtection="1">
      <alignment horizontal="right" vertical="center"/>
      <protection locked="0"/>
    </xf>
    <xf numFmtId="3" fontId="2" fillId="0" borderId="10" xfId="0" applyNumberFormat="1" applyFont="1" applyBorder="1" applyAlignment="1" applyProtection="1">
      <alignment horizontal="right" vertical="center"/>
      <protection locked="0"/>
    </xf>
    <xf numFmtId="4" fontId="3" fillId="2" borderId="8" xfId="0" applyNumberFormat="1" applyFont="1" applyFill="1" applyBorder="1" applyAlignment="1">
      <alignment horizontal="right" vertical="center" wrapText="1"/>
    </xf>
    <xf numFmtId="4" fontId="2" fillId="2" borderId="8" xfId="0" applyNumberFormat="1" applyFont="1" applyFill="1" applyBorder="1" applyAlignment="1">
      <alignment horizontal="right" vertical="center"/>
    </xf>
    <xf numFmtId="3" fontId="2" fillId="0" borderId="10" xfId="0" applyNumberFormat="1" applyFont="1" applyBorder="1" applyAlignment="1">
      <alignment horizontal="right" vertical="center"/>
    </xf>
    <xf numFmtId="4" fontId="3" fillId="2" borderId="2" xfId="0" applyNumberFormat="1" applyFont="1" applyFill="1" applyBorder="1" applyAlignment="1">
      <alignment horizontal="right" vertical="center" wrapText="1"/>
    </xf>
    <xf numFmtId="3" fontId="3" fillId="0" borderId="10" xfId="0" applyNumberFormat="1" applyFont="1" applyBorder="1" applyAlignment="1">
      <alignment horizontal="right" vertical="center" wrapText="1"/>
    </xf>
    <xf numFmtId="4" fontId="2" fillId="2" borderId="2" xfId="0" applyNumberFormat="1" applyFont="1" applyFill="1" applyBorder="1" applyAlignment="1">
      <alignment horizontal="right" vertical="center"/>
    </xf>
    <xf numFmtId="3" fontId="2" fillId="2" borderId="8" xfId="0" applyNumberFormat="1" applyFont="1" applyFill="1" applyBorder="1" applyAlignment="1">
      <alignment horizontal="right"/>
    </xf>
    <xf numFmtId="3" fontId="2" fillId="0" borderId="10" xfId="0" applyNumberFormat="1" applyFont="1" applyBorder="1"/>
    <xf numFmtId="3" fontId="2" fillId="2" borderId="9" xfId="0" applyNumberFormat="1" applyFont="1" applyFill="1" applyBorder="1" applyAlignment="1">
      <alignment horizontal="right"/>
    </xf>
    <xf numFmtId="0" fontId="2" fillId="0" borderId="11" xfId="0" applyFont="1" applyBorder="1" applyAlignment="1">
      <alignment horizontal="left"/>
    </xf>
    <xf numFmtId="0" fontId="2" fillId="0" borderId="12" xfId="0" applyFont="1" applyBorder="1" applyAlignment="1">
      <alignment horizontal="left"/>
    </xf>
    <xf numFmtId="0" fontId="2" fillId="0" borderId="13" xfId="0" applyFont="1" applyBorder="1"/>
    <xf numFmtId="0" fontId="2" fillId="2" borderId="7" xfId="0" applyFont="1" applyFill="1" applyBorder="1" applyAlignment="1">
      <alignment horizontal="center"/>
    </xf>
    <xf numFmtId="0" fontId="2" fillId="2" borderId="8" xfId="0" applyFont="1" applyFill="1" applyBorder="1" applyAlignment="1">
      <alignment horizontal="center"/>
    </xf>
    <xf numFmtId="0" fontId="2" fillId="0" borderId="10" xfId="0" applyFont="1" applyBorder="1"/>
    <xf numFmtId="3" fontId="3" fillId="0" borderId="7" xfId="0" applyNumberFormat="1" applyFont="1" applyBorder="1" applyAlignment="1" applyProtection="1">
      <alignment horizontal="right" vertical="center" wrapText="1"/>
      <protection locked="0"/>
    </xf>
    <xf numFmtId="0" fontId="14" fillId="3" borderId="8" xfId="0" applyFont="1" applyFill="1" applyBorder="1" applyAlignment="1" applyProtection="1">
      <alignment horizontal="left" vertical="center" wrapText="1"/>
    </xf>
    <xf numFmtId="0" fontId="15" fillId="3" borderId="8" xfId="0" applyFont="1" applyFill="1" applyBorder="1" applyAlignment="1" applyProtection="1">
      <alignment horizontal="left" vertical="center" wrapText="1"/>
    </xf>
    <xf numFmtId="3" fontId="2" fillId="0" borderId="0" xfId="0" applyNumberFormat="1" applyFont="1" applyAlignment="1">
      <alignment vertical="center"/>
    </xf>
    <xf numFmtId="3" fontId="10" fillId="0" borderId="0" xfId="0" applyNumberFormat="1" applyFont="1" applyAlignment="1">
      <alignment vertical="center"/>
    </xf>
    <xf numFmtId="3" fontId="3" fillId="0" borderId="8" xfId="0" applyNumberFormat="1" applyFont="1" applyBorder="1" applyAlignment="1" applyProtection="1">
      <alignment horizontal="right" vertical="center" wrapText="1"/>
      <protection locked="0"/>
    </xf>
    <xf numFmtId="3" fontId="2" fillId="0" borderId="8" xfId="0" applyNumberFormat="1" applyFont="1" applyBorder="1" applyAlignment="1" applyProtection="1">
      <alignment horizontal="right" vertical="center"/>
      <protection locked="0"/>
    </xf>
    <xf numFmtId="3" fontId="5" fillId="0" borderId="8" xfId="0" applyNumberFormat="1" applyFont="1" applyBorder="1" applyAlignment="1" applyProtection="1">
      <alignment horizontal="right" vertical="center"/>
      <protection locked="0"/>
    </xf>
    <xf numFmtId="3" fontId="3" fillId="2" borderId="8" xfId="0" applyNumberFormat="1" applyFont="1" applyFill="1" applyBorder="1" applyAlignment="1">
      <alignment horizontal="right" vertical="center" wrapText="1"/>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5" fillId="0" borderId="0" xfId="0" applyFont="1" applyAlignment="1">
      <alignment horizontal="center" vertical="center"/>
    </xf>
    <xf numFmtId="0" fontId="3" fillId="0" borderId="0" xfId="0" applyFont="1" applyAlignment="1">
      <alignment horizontal="center"/>
    </xf>
    <xf numFmtId="0" fontId="7" fillId="0" borderId="0" xfId="0" applyFont="1" applyAlignment="1">
      <alignment horizontal="center" vertical="center" wrapText="1"/>
    </xf>
    <xf numFmtId="0" fontId="3" fillId="0" borderId="0" xfId="0" applyFont="1" applyAlignment="1">
      <alignment horizontal="center" vertical="center"/>
    </xf>
    <xf numFmtId="0" fontId="3" fillId="0" borderId="2"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5" fillId="0" borderId="1" xfId="0" applyFont="1" applyBorder="1" applyAlignment="1">
      <alignment horizontal="center" vertical="center" wrapText="1"/>
    </xf>
  </cellXfs>
  <cellStyles count="2">
    <cellStyle name="Normal" xfId="0" builtinId="0"/>
    <cellStyle name="Normal_1a. Mau bieu Ke hoach hoa  949 ngay 08-6-2004"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4"/>
  <sheetViews>
    <sheetView tabSelected="1" topLeftCell="C56" zoomScale="70" zoomScaleNormal="70" workbookViewId="0">
      <selection activeCell="K53" sqref="K53"/>
    </sheetView>
  </sheetViews>
  <sheetFormatPr defaultRowHeight="15.75" x14ac:dyDescent="0.2"/>
  <cols>
    <col min="1" max="1" width="6.42578125" style="2" customWidth="1"/>
    <col min="2" max="2" width="23.5703125" style="2" customWidth="1"/>
    <col min="3" max="3" width="80.140625" style="2" customWidth="1"/>
    <col min="4" max="4" width="27.85546875" style="2" customWidth="1"/>
    <col min="5" max="5" width="25" style="2" customWidth="1"/>
    <col min="6" max="6" width="17.28515625" style="2" customWidth="1"/>
    <col min="7" max="7" width="17.140625" style="2" customWidth="1"/>
    <col min="8" max="8" width="17.140625" style="1" customWidth="1"/>
    <col min="9" max="257" width="9.140625" style="1"/>
    <col min="258" max="258" width="6.42578125" style="1" customWidth="1"/>
    <col min="259" max="259" width="80.140625" style="1" customWidth="1"/>
    <col min="260" max="260" width="22.42578125" style="1" customWidth="1"/>
    <col min="261" max="264" width="14.28515625" style="1" customWidth="1"/>
    <col min="265" max="513" width="9.140625" style="1"/>
    <col min="514" max="514" width="6.42578125" style="1" customWidth="1"/>
    <col min="515" max="515" width="80.140625" style="1" customWidth="1"/>
    <col min="516" max="516" width="22.42578125" style="1" customWidth="1"/>
    <col min="517" max="520" width="14.28515625" style="1" customWidth="1"/>
    <col min="521" max="769" width="9.140625" style="1"/>
    <col min="770" max="770" width="6.42578125" style="1" customWidth="1"/>
    <col min="771" max="771" width="80.140625" style="1" customWidth="1"/>
    <col min="772" max="772" width="22.42578125" style="1" customWidth="1"/>
    <col min="773" max="776" width="14.28515625" style="1" customWidth="1"/>
    <col min="777" max="1025" width="9.140625" style="1"/>
    <col min="1026" max="1026" width="6.42578125" style="1" customWidth="1"/>
    <col min="1027" max="1027" width="80.140625" style="1" customWidth="1"/>
    <col min="1028" max="1028" width="22.42578125" style="1" customWidth="1"/>
    <col min="1029" max="1032" width="14.28515625" style="1" customWidth="1"/>
    <col min="1033" max="1281" width="9.140625" style="1"/>
    <col min="1282" max="1282" width="6.42578125" style="1" customWidth="1"/>
    <col min="1283" max="1283" width="80.140625" style="1" customWidth="1"/>
    <col min="1284" max="1284" width="22.42578125" style="1" customWidth="1"/>
    <col min="1285" max="1288" width="14.28515625" style="1" customWidth="1"/>
    <col min="1289" max="1537" width="9.140625" style="1"/>
    <col min="1538" max="1538" width="6.42578125" style="1" customWidth="1"/>
    <col min="1539" max="1539" width="80.140625" style="1" customWidth="1"/>
    <col min="1540" max="1540" width="22.42578125" style="1" customWidth="1"/>
    <col min="1541" max="1544" width="14.28515625" style="1" customWidth="1"/>
    <col min="1545" max="1793" width="9.140625" style="1"/>
    <col min="1794" max="1794" width="6.42578125" style="1" customWidth="1"/>
    <col min="1795" max="1795" width="80.140625" style="1" customWidth="1"/>
    <col min="1796" max="1796" width="22.42578125" style="1" customWidth="1"/>
    <col min="1797" max="1800" width="14.28515625" style="1" customWidth="1"/>
    <col min="1801" max="2049" width="9.140625" style="1"/>
    <col min="2050" max="2050" width="6.42578125" style="1" customWidth="1"/>
    <col min="2051" max="2051" width="80.140625" style="1" customWidth="1"/>
    <col min="2052" max="2052" width="22.42578125" style="1" customWidth="1"/>
    <col min="2053" max="2056" width="14.28515625" style="1" customWidth="1"/>
    <col min="2057" max="2305" width="9.140625" style="1"/>
    <col min="2306" max="2306" width="6.42578125" style="1" customWidth="1"/>
    <col min="2307" max="2307" width="80.140625" style="1" customWidth="1"/>
    <col min="2308" max="2308" width="22.42578125" style="1" customWidth="1"/>
    <col min="2309" max="2312" width="14.28515625" style="1" customWidth="1"/>
    <col min="2313" max="2561" width="9.140625" style="1"/>
    <col min="2562" max="2562" width="6.42578125" style="1" customWidth="1"/>
    <col min="2563" max="2563" width="80.140625" style="1" customWidth="1"/>
    <col min="2564" max="2564" width="22.42578125" style="1" customWidth="1"/>
    <col min="2565" max="2568" width="14.28515625" style="1" customWidth="1"/>
    <col min="2569" max="2817" width="9.140625" style="1"/>
    <col min="2818" max="2818" width="6.42578125" style="1" customWidth="1"/>
    <col min="2819" max="2819" width="80.140625" style="1" customWidth="1"/>
    <col min="2820" max="2820" width="22.42578125" style="1" customWidth="1"/>
    <col min="2821" max="2824" width="14.28515625" style="1" customWidth="1"/>
    <col min="2825" max="3073" width="9.140625" style="1"/>
    <col min="3074" max="3074" width="6.42578125" style="1" customWidth="1"/>
    <col min="3075" max="3075" width="80.140625" style="1" customWidth="1"/>
    <col min="3076" max="3076" width="22.42578125" style="1" customWidth="1"/>
    <col min="3077" max="3080" width="14.28515625" style="1" customWidth="1"/>
    <col min="3081" max="3329" width="9.140625" style="1"/>
    <col min="3330" max="3330" width="6.42578125" style="1" customWidth="1"/>
    <col min="3331" max="3331" width="80.140625" style="1" customWidth="1"/>
    <col min="3332" max="3332" width="22.42578125" style="1" customWidth="1"/>
    <col min="3333" max="3336" width="14.28515625" style="1" customWidth="1"/>
    <col min="3337" max="3585" width="9.140625" style="1"/>
    <col min="3586" max="3586" width="6.42578125" style="1" customWidth="1"/>
    <col min="3587" max="3587" width="80.140625" style="1" customWidth="1"/>
    <col min="3588" max="3588" width="22.42578125" style="1" customWidth="1"/>
    <col min="3589" max="3592" width="14.28515625" style="1" customWidth="1"/>
    <col min="3593" max="3841" width="9.140625" style="1"/>
    <col min="3842" max="3842" width="6.42578125" style="1" customWidth="1"/>
    <col min="3843" max="3843" width="80.140625" style="1" customWidth="1"/>
    <col min="3844" max="3844" width="22.42578125" style="1" customWidth="1"/>
    <col min="3845" max="3848" width="14.28515625" style="1" customWidth="1"/>
    <col min="3849" max="4097" width="9.140625" style="1"/>
    <col min="4098" max="4098" width="6.42578125" style="1" customWidth="1"/>
    <col min="4099" max="4099" width="80.140625" style="1" customWidth="1"/>
    <col min="4100" max="4100" width="22.42578125" style="1" customWidth="1"/>
    <col min="4101" max="4104" width="14.28515625" style="1" customWidth="1"/>
    <col min="4105" max="4353" width="9.140625" style="1"/>
    <col min="4354" max="4354" width="6.42578125" style="1" customWidth="1"/>
    <col min="4355" max="4355" width="80.140625" style="1" customWidth="1"/>
    <col min="4356" max="4356" width="22.42578125" style="1" customWidth="1"/>
    <col min="4357" max="4360" width="14.28515625" style="1" customWidth="1"/>
    <col min="4361" max="4609" width="9.140625" style="1"/>
    <col min="4610" max="4610" width="6.42578125" style="1" customWidth="1"/>
    <col min="4611" max="4611" width="80.140625" style="1" customWidth="1"/>
    <col min="4612" max="4612" width="22.42578125" style="1" customWidth="1"/>
    <col min="4613" max="4616" width="14.28515625" style="1" customWidth="1"/>
    <col min="4617" max="4865" width="9.140625" style="1"/>
    <col min="4866" max="4866" width="6.42578125" style="1" customWidth="1"/>
    <col min="4867" max="4867" width="80.140625" style="1" customWidth="1"/>
    <col min="4868" max="4868" width="22.42578125" style="1" customWidth="1"/>
    <col min="4869" max="4872" width="14.28515625" style="1" customWidth="1"/>
    <col min="4873" max="5121" width="9.140625" style="1"/>
    <col min="5122" max="5122" width="6.42578125" style="1" customWidth="1"/>
    <col min="5123" max="5123" width="80.140625" style="1" customWidth="1"/>
    <col min="5124" max="5124" width="22.42578125" style="1" customWidth="1"/>
    <col min="5125" max="5128" width="14.28515625" style="1" customWidth="1"/>
    <col min="5129" max="5377" width="9.140625" style="1"/>
    <col min="5378" max="5378" width="6.42578125" style="1" customWidth="1"/>
    <col min="5379" max="5379" width="80.140625" style="1" customWidth="1"/>
    <col min="5380" max="5380" width="22.42578125" style="1" customWidth="1"/>
    <col min="5381" max="5384" width="14.28515625" style="1" customWidth="1"/>
    <col min="5385" max="5633" width="9.140625" style="1"/>
    <col min="5634" max="5634" width="6.42578125" style="1" customWidth="1"/>
    <col min="5635" max="5635" width="80.140625" style="1" customWidth="1"/>
    <col min="5636" max="5636" width="22.42578125" style="1" customWidth="1"/>
    <col min="5637" max="5640" width="14.28515625" style="1" customWidth="1"/>
    <col min="5641" max="5889" width="9.140625" style="1"/>
    <col min="5890" max="5890" width="6.42578125" style="1" customWidth="1"/>
    <col min="5891" max="5891" width="80.140625" style="1" customWidth="1"/>
    <col min="5892" max="5892" width="22.42578125" style="1" customWidth="1"/>
    <col min="5893" max="5896" width="14.28515625" style="1" customWidth="1"/>
    <col min="5897" max="6145" width="9.140625" style="1"/>
    <col min="6146" max="6146" width="6.42578125" style="1" customWidth="1"/>
    <col min="6147" max="6147" width="80.140625" style="1" customWidth="1"/>
    <col min="6148" max="6148" width="22.42578125" style="1" customWidth="1"/>
    <col min="6149" max="6152" width="14.28515625" style="1" customWidth="1"/>
    <col min="6153" max="6401" width="9.140625" style="1"/>
    <col min="6402" max="6402" width="6.42578125" style="1" customWidth="1"/>
    <col min="6403" max="6403" width="80.140625" style="1" customWidth="1"/>
    <col min="6404" max="6404" width="22.42578125" style="1" customWidth="1"/>
    <col min="6405" max="6408" width="14.28515625" style="1" customWidth="1"/>
    <col min="6409" max="6657" width="9.140625" style="1"/>
    <col min="6658" max="6658" width="6.42578125" style="1" customWidth="1"/>
    <col min="6659" max="6659" width="80.140625" style="1" customWidth="1"/>
    <col min="6660" max="6660" width="22.42578125" style="1" customWidth="1"/>
    <col min="6661" max="6664" width="14.28515625" style="1" customWidth="1"/>
    <col min="6665" max="6913" width="9.140625" style="1"/>
    <col min="6914" max="6914" width="6.42578125" style="1" customWidth="1"/>
    <col min="6915" max="6915" width="80.140625" style="1" customWidth="1"/>
    <col min="6916" max="6916" width="22.42578125" style="1" customWidth="1"/>
    <col min="6917" max="6920" width="14.28515625" style="1" customWidth="1"/>
    <col min="6921" max="7169" width="9.140625" style="1"/>
    <col min="7170" max="7170" width="6.42578125" style="1" customWidth="1"/>
    <col min="7171" max="7171" width="80.140625" style="1" customWidth="1"/>
    <col min="7172" max="7172" width="22.42578125" style="1" customWidth="1"/>
    <col min="7173" max="7176" width="14.28515625" style="1" customWidth="1"/>
    <col min="7177" max="7425" width="9.140625" style="1"/>
    <col min="7426" max="7426" width="6.42578125" style="1" customWidth="1"/>
    <col min="7427" max="7427" width="80.140625" style="1" customWidth="1"/>
    <col min="7428" max="7428" width="22.42578125" style="1" customWidth="1"/>
    <col min="7429" max="7432" width="14.28515625" style="1" customWidth="1"/>
    <col min="7433" max="7681" width="9.140625" style="1"/>
    <col min="7682" max="7682" width="6.42578125" style="1" customWidth="1"/>
    <col min="7683" max="7683" width="80.140625" style="1" customWidth="1"/>
    <col min="7684" max="7684" width="22.42578125" style="1" customWidth="1"/>
    <col min="7685" max="7688" width="14.28515625" style="1" customWidth="1"/>
    <col min="7689" max="7937" width="9.140625" style="1"/>
    <col min="7938" max="7938" width="6.42578125" style="1" customWidth="1"/>
    <col min="7939" max="7939" width="80.140625" style="1" customWidth="1"/>
    <col min="7940" max="7940" width="22.42578125" style="1" customWidth="1"/>
    <col min="7941" max="7944" width="14.28515625" style="1" customWidth="1"/>
    <col min="7945" max="8193" width="9.140625" style="1"/>
    <col min="8194" max="8194" width="6.42578125" style="1" customWidth="1"/>
    <col min="8195" max="8195" width="80.140625" style="1" customWidth="1"/>
    <col min="8196" max="8196" width="22.42578125" style="1" customWidth="1"/>
    <col min="8197" max="8200" width="14.28515625" style="1" customWidth="1"/>
    <col min="8201" max="8449" width="9.140625" style="1"/>
    <col min="8450" max="8450" width="6.42578125" style="1" customWidth="1"/>
    <col min="8451" max="8451" width="80.140625" style="1" customWidth="1"/>
    <col min="8452" max="8452" width="22.42578125" style="1" customWidth="1"/>
    <col min="8453" max="8456" width="14.28515625" style="1" customWidth="1"/>
    <col min="8457" max="8705" width="9.140625" style="1"/>
    <col min="8706" max="8706" width="6.42578125" style="1" customWidth="1"/>
    <col min="8707" max="8707" width="80.140625" style="1" customWidth="1"/>
    <col min="8708" max="8708" width="22.42578125" style="1" customWidth="1"/>
    <col min="8709" max="8712" width="14.28515625" style="1" customWidth="1"/>
    <col min="8713" max="8961" width="9.140625" style="1"/>
    <col min="8962" max="8962" width="6.42578125" style="1" customWidth="1"/>
    <col min="8963" max="8963" width="80.140625" style="1" customWidth="1"/>
    <col min="8964" max="8964" width="22.42578125" style="1" customWidth="1"/>
    <col min="8965" max="8968" width="14.28515625" style="1" customWidth="1"/>
    <col min="8969" max="9217" width="9.140625" style="1"/>
    <col min="9218" max="9218" width="6.42578125" style="1" customWidth="1"/>
    <col min="9219" max="9219" width="80.140625" style="1" customWidth="1"/>
    <col min="9220" max="9220" width="22.42578125" style="1" customWidth="1"/>
    <col min="9221" max="9224" width="14.28515625" style="1" customWidth="1"/>
    <col min="9225" max="9473" width="9.140625" style="1"/>
    <col min="9474" max="9474" width="6.42578125" style="1" customWidth="1"/>
    <col min="9475" max="9475" width="80.140625" style="1" customWidth="1"/>
    <col min="9476" max="9476" width="22.42578125" style="1" customWidth="1"/>
    <col min="9477" max="9480" width="14.28515625" style="1" customWidth="1"/>
    <col min="9481" max="9729" width="9.140625" style="1"/>
    <col min="9730" max="9730" width="6.42578125" style="1" customWidth="1"/>
    <col min="9731" max="9731" width="80.140625" style="1" customWidth="1"/>
    <col min="9732" max="9732" width="22.42578125" style="1" customWidth="1"/>
    <col min="9733" max="9736" width="14.28515625" style="1" customWidth="1"/>
    <col min="9737" max="9985" width="9.140625" style="1"/>
    <col min="9986" max="9986" width="6.42578125" style="1" customWidth="1"/>
    <col min="9987" max="9987" width="80.140625" style="1" customWidth="1"/>
    <col min="9988" max="9988" width="22.42578125" style="1" customWidth="1"/>
    <col min="9989" max="9992" width="14.28515625" style="1" customWidth="1"/>
    <col min="9993" max="10241" width="9.140625" style="1"/>
    <col min="10242" max="10242" width="6.42578125" style="1" customWidth="1"/>
    <col min="10243" max="10243" width="80.140625" style="1" customWidth="1"/>
    <col min="10244" max="10244" width="22.42578125" style="1" customWidth="1"/>
    <col min="10245" max="10248" width="14.28515625" style="1" customWidth="1"/>
    <col min="10249" max="10497" width="9.140625" style="1"/>
    <col min="10498" max="10498" width="6.42578125" style="1" customWidth="1"/>
    <col min="10499" max="10499" width="80.140625" style="1" customWidth="1"/>
    <col min="10500" max="10500" width="22.42578125" style="1" customWidth="1"/>
    <col min="10501" max="10504" width="14.28515625" style="1" customWidth="1"/>
    <col min="10505" max="10753" width="9.140625" style="1"/>
    <col min="10754" max="10754" width="6.42578125" style="1" customWidth="1"/>
    <col min="10755" max="10755" width="80.140625" style="1" customWidth="1"/>
    <col min="10756" max="10756" width="22.42578125" style="1" customWidth="1"/>
    <col min="10757" max="10760" width="14.28515625" style="1" customWidth="1"/>
    <col min="10761" max="11009" width="9.140625" style="1"/>
    <col min="11010" max="11010" width="6.42578125" style="1" customWidth="1"/>
    <col min="11011" max="11011" width="80.140625" style="1" customWidth="1"/>
    <col min="11012" max="11012" width="22.42578125" style="1" customWidth="1"/>
    <col min="11013" max="11016" width="14.28515625" style="1" customWidth="1"/>
    <col min="11017" max="11265" width="9.140625" style="1"/>
    <col min="11266" max="11266" width="6.42578125" style="1" customWidth="1"/>
    <col min="11267" max="11267" width="80.140625" style="1" customWidth="1"/>
    <col min="11268" max="11268" width="22.42578125" style="1" customWidth="1"/>
    <col min="11269" max="11272" width="14.28515625" style="1" customWidth="1"/>
    <col min="11273" max="11521" width="9.140625" style="1"/>
    <col min="11522" max="11522" width="6.42578125" style="1" customWidth="1"/>
    <col min="11523" max="11523" width="80.140625" style="1" customWidth="1"/>
    <col min="11524" max="11524" width="22.42578125" style="1" customWidth="1"/>
    <col min="11525" max="11528" width="14.28515625" style="1" customWidth="1"/>
    <col min="11529" max="11777" width="9.140625" style="1"/>
    <col min="11778" max="11778" width="6.42578125" style="1" customWidth="1"/>
    <col min="11779" max="11779" width="80.140625" style="1" customWidth="1"/>
    <col min="11780" max="11780" width="22.42578125" style="1" customWidth="1"/>
    <col min="11781" max="11784" width="14.28515625" style="1" customWidth="1"/>
    <col min="11785" max="12033" width="9.140625" style="1"/>
    <col min="12034" max="12034" width="6.42578125" style="1" customWidth="1"/>
    <col min="12035" max="12035" width="80.140625" style="1" customWidth="1"/>
    <col min="12036" max="12036" width="22.42578125" style="1" customWidth="1"/>
    <col min="12037" max="12040" width="14.28515625" style="1" customWidth="1"/>
    <col min="12041" max="12289" width="9.140625" style="1"/>
    <col min="12290" max="12290" width="6.42578125" style="1" customWidth="1"/>
    <col min="12291" max="12291" width="80.140625" style="1" customWidth="1"/>
    <col min="12292" max="12292" width="22.42578125" style="1" customWidth="1"/>
    <col min="12293" max="12296" width="14.28515625" style="1" customWidth="1"/>
    <col min="12297" max="12545" width="9.140625" style="1"/>
    <col min="12546" max="12546" width="6.42578125" style="1" customWidth="1"/>
    <col min="12547" max="12547" width="80.140625" style="1" customWidth="1"/>
    <col min="12548" max="12548" width="22.42578125" style="1" customWidth="1"/>
    <col min="12549" max="12552" width="14.28515625" style="1" customWidth="1"/>
    <col min="12553" max="12801" width="9.140625" style="1"/>
    <col min="12802" max="12802" width="6.42578125" style="1" customWidth="1"/>
    <col min="12803" max="12803" width="80.140625" style="1" customWidth="1"/>
    <col min="12804" max="12804" width="22.42578125" style="1" customWidth="1"/>
    <col min="12805" max="12808" width="14.28515625" style="1" customWidth="1"/>
    <col min="12809" max="13057" width="9.140625" style="1"/>
    <col min="13058" max="13058" width="6.42578125" style="1" customWidth="1"/>
    <col min="13059" max="13059" width="80.140625" style="1" customWidth="1"/>
    <col min="13060" max="13060" width="22.42578125" style="1" customWidth="1"/>
    <col min="13061" max="13064" width="14.28515625" style="1" customWidth="1"/>
    <col min="13065" max="13313" width="9.140625" style="1"/>
    <col min="13314" max="13314" width="6.42578125" style="1" customWidth="1"/>
    <col min="13315" max="13315" width="80.140625" style="1" customWidth="1"/>
    <col min="13316" max="13316" width="22.42578125" style="1" customWidth="1"/>
    <col min="13317" max="13320" width="14.28515625" style="1" customWidth="1"/>
    <col min="13321" max="13569" width="9.140625" style="1"/>
    <col min="13570" max="13570" width="6.42578125" style="1" customWidth="1"/>
    <col min="13571" max="13571" width="80.140625" style="1" customWidth="1"/>
    <col min="13572" max="13572" width="22.42578125" style="1" customWidth="1"/>
    <col min="13573" max="13576" width="14.28515625" style="1" customWidth="1"/>
    <col min="13577" max="13825" width="9.140625" style="1"/>
    <col min="13826" max="13826" width="6.42578125" style="1" customWidth="1"/>
    <col min="13827" max="13827" width="80.140625" style="1" customWidth="1"/>
    <col min="13828" max="13828" width="22.42578125" style="1" customWidth="1"/>
    <col min="13829" max="13832" width="14.28515625" style="1" customWidth="1"/>
    <col min="13833" max="14081" width="9.140625" style="1"/>
    <col min="14082" max="14082" width="6.42578125" style="1" customWidth="1"/>
    <col min="14083" max="14083" width="80.140625" style="1" customWidth="1"/>
    <col min="14084" max="14084" width="22.42578125" style="1" customWidth="1"/>
    <col min="14085" max="14088" width="14.28515625" style="1" customWidth="1"/>
    <col min="14089" max="14337" width="9.140625" style="1"/>
    <col min="14338" max="14338" width="6.42578125" style="1" customWidth="1"/>
    <col min="14339" max="14339" width="80.140625" style="1" customWidth="1"/>
    <col min="14340" max="14340" width="22.42578125" style="1" customWidth="1"/>
    <col min="14341" max="14344" width="14.28515625" style="1" customWidth="1"/>
    <col min="14345" max="14593" width="9.140625" style="1"/>
    <col min="14594" max="14594" width="6.42578125" style="1" customWidth="1"/>
    <col min="14595" max="14595" width="80.140625" style="1" customWidth="1"/>
    <col min="14596" max="14596" width="22.42578125" style="1" customWidth="1"/>
    <col min="14597" max="14600" width="14.28515625" style="1" customWidth="1"/>
    <col min="14601" max="14849" width="9.140625" style="1"/>
    <col min="14850" max="14850" width="6.42578125" style="1" customWidth="1"/>
    <col min="14851" max="14851" width="80.140625" style="1" customWidth="1"/>
    <col min="14852" max="14852" width="22.42578125" style="1" customWidth="1"/>
    <col min="14853" max="14856" width="14.28515625" style="1" customWidth="1"/>
    <col min="14857" max="15105" width="9.140625" style="1"/>
    <col min="15106" max="15106" width="6.42578125" style="1" customWidth="1"/>
    <col min="15107" max="15107" width="80.140625" style="1" customWidth="1"/>
    <col min="15108" max="15108" width="22.42578125" style="1" customWidth="1"/>
    <col min="15109" max="15112" width="14.28515625" style="1" customWidth="1"/>
    <col min="15113" max="15361" width="9.140625" style="1"/>
    <col min="15362" max="15362" width="6.42578125" style="1" customWidth="1"/>
    <col min="15363" max="15363" width="80.140625" style="1" customWidth="1"/>
    <col min="15364" max="15364" width="22.42578125" style="1" customWidth="1"/>
    <col min="15365" max="15368" width="14.28515625" style="1" customWidth="1"/>
    <col min="15369" max="15617" width="9.140625" style="1"/>
    <col min="15618" max="15618" width="6.42578125" style="1" customWidth="1"/>
    <col min="15619" max="15619" width="80.140625" style="1" customWidth="1"/>
    <col min="15620" max="15620" width="22.42578125" style="1" customWidth="1"/>
    <col min="15621" max="15624" width="14.28515625" style="1" customWidth="1"/>
    <col min="15625" max="15873" width="9.140625" style="1"/>
    <col min="15874" max="15874" width="6.42578125" style="1" customWidth="1"/>
    <col min="15875" max="15875" width="80.140625" style="1" customWidth="1"/>
    <col min="15876" max="15876" width="22.42578125" style="1" customWidth="1"/>
    <col min="15877" max="15880" width="14.28515625" style="1" customWidth="1"/>
    <col min="15881" max="16129" width="9.140625" style="1"/>
    <col min="16130" max="16130" width="6.42578125" style="1" customWidth="1"/>
    <col min="16131" max="16131" width="80.140625" style="1" customWidth="1"/>
    <col min="16132" max="16132" width="22.42578125" style="1" customWidth="1"/>
    <col min="16133" max="16136" width="14.28515625" style="1" customWidth="1"/>
    <col min="16137" max="16384" width="9.140625" style="1"/>
  </cols>
  <sheetData>
    <row r="1" spans="1:9" x14ac:dyDescent="0.2">
      <c r="A1" s="1"/>
      <c r="B1" s="1"/>
      <c r="F1" s="3"/>
      <c r="G1" s="3" t="s">
        <v>0</v>
      </c>
      <c r="H1" s="4"/>
    </row>
    <row r="2" spans="1:9" x14ac:dyDescent="0.2">
      <c r="A2" s="5" t="s">
        <v>29</v>
      </c>
      <c r="B2" s="5"/>
      <c r="F2" s="54" t="s">
        <v>1</v>
      </c>
      <c r="G2" s="54"/>
      <c r="H2" s="54"/>
    </row>
    <row r="3" spans="1:9" x14ac:dyDescent="0.25">
      <c r="A3" s="5"/>
      <c r="B3" s="5" t="s">
        <v>294</v>
      </c>
      <c r="C3" s="5"/>
      <c r="D3" s="5"/>
      <c r="E3" s="55" t="s">
        <v>2</v>
      </c>
      <c r="F3" s="55"/>
      <c r="G3" s="55"/>
      <c r="H3" s="55"/>
    </row>
    <row r="4" spans="1:9" x14ac:dyDescent="0.25">
      <c r="A4" s="1"/>
      <c r="B4" s="1"/>
      <c r="C4" s="5"/>
      <c r="D4" s="5"/>
      <c r="E4" s="55" t="s">
        <v>3</v>
      </c>
      <c r="F4" s="55"/>
      <c r="G4" s="55"/>
      <c r="H4" s="55"/>
    </row>
    <row r="5" spans="1:9" ht="21.95" customHeight="1" x14ac:dyDescent="0.2">
      <c r="A5" s="56" t="s">
        <v>4</v>
      </c>
      <c r="B5" s="56"/>
      <c r="C5" s="56"/>
      <c r="D5" s="56"/>
      <c r="E5" s="56"/>
      <c r="F5" s="56"/>
      <c r="G5" s="56"/>
      <c r="H5" s="56"/>
    </row>
    <row r="6" spans="1:9" ht="23.25" customHeight="1" x14ac:dyDescent="0.2">
      <c r="F6" s="54" t="s">
        <v>5</v>
      </c>
      <c r="G6" s="54"/>
      <c r="H6" s="54"/>
      <c r="I6" s="54"/>
    </row>
    <row r="7" spans="1:9" ht="21.6" customHeight="1" x14ac:dyDescent="0.2">
      <c r="A7" s="52" t="s">
        <v>6</v>
      </c>
      <c r="B7" s="52" t="s">
        <v>28</v>
      </c>
      <c r="C7" s="52" t="s">
        <v>7</v>
      </c>
      <c r="D7" s="52" t="s">
        <v>8</v>
      </c>
      <c r="E7" s="52" t="s">
        <v>9</v>
      </c>
      <c r="F7" s="53" t="s">
        <v>10</v>
      </c>
      <c r="G7" s="53"/>
      <c r="H7" s="53"/>
    </row>
    <row r="8" spans="1:9" ht="26.45" customHeight="1" x14ac:dyDescent="0.2">
      <c r="A8" s="52"/>
      <c r="B8" s="52"/>
      <c r="C8" s="52"/>
      <c r="D8" s="52"/>
      <c r="E8" s="52"/>
      <c r="F8" s="58" t="s">
        <v>11</v>
      </c>
      <c r="G8" s="61" t="s">
        <v>11</v>
      </c>
      <c r="H8" s="62"/>
    </row>
    <row r="9" spans="1:9" ht="17.25" customHeight="1" x14ac:dyDescent="0.2">
      <c r="A9" s="52"/>
      <c r="B9" s="52"/>
      <c r="C9" s="52"/>
      <c r="D9" s="52"/>
      <c r="E9" s="52"/>
      <c r="F9" s="59"/>
      <c r="G9" s="63" t="s">
        <v>12</v>
      </c>
      <c r="H9" s="63" t="s">
        <v>13</v>
      </c>
    </row>
    <row r="10" spans="1:9" ht="21" customHeight="1" x14ac:dyDescent="0.2">
      <c r="A10" s="52"/>
      <c r="B10" s="52"/>
      <c r="C10" s="52"/>
      <c r="D10" s="52"/>
      <c r="E10" s="52"/>
      <c r="F10" s="60"/>
      <c r="G10" s="63"/>
      <c r="H10" s="63"/>
    </row>
    <row r="11" spans="1:9" ht="15" customHeight="1" x14ac:dyDescent="0.2">
      <c r="A11" s="6">
        <v>1</v>
      </c>
      <c r="B11" s="6"/>
      <c r="C11" s="6">
        <v>2</v>
      </c>
      <c r="D11" s="6">
        <v>3</v>
      </c>
      <c r="E11" s="6">
        <v>4</v>
      </c>
      <c r="F11" s="6" t="s">
        <v>14</v>
      </c>
      <c r="G11" s="6">
        <v>6</v>
      </c>
      <c r="H11" s="6">
        <v>7</v>
      </c>
    </row>
    <row r="12" spans="1:9" s="2" customFormat="1" x14ac:dyDescent="0.25">
      <c r="A12" s="37" t="s">
        <v>30</v>
      </c>
      <c r="B12" s="40" t="s">
        <v>31</v>
      </c>
      <c r="C12" s="14" t="s">
        <v>32</v>
      </c>
      <c r="D12" s="36">
        <f>D13+D21</f>
        <v>0</v>
      </c>
      <c r="E12" s="43">
        <f>E13+E21</f>
        <v>0</v>
      </c>
      <c r="F12" s="31"/>
      <c r="G12" s="43">
        <f>G13+G21</f>
        <v>0</v>
      </c>
      <c r="H12" s="33">
        <f>IFERROR(G12/E12,0)</f>
        <v>0</v>
      </c>
    </row>
    <row r="13" spans="1:9" s="2" customFormat="1" x14ac:dyDescent="0.25">
      <c r="A13" s="38" t="s">
        <v>33</v>
      </c>
      <c r="B13" s="41" t="s">
        <v>34</v>
      </c>
      <c r="C13" s="15" t="s">
        <v>35</v>
      </c>
      <c r="D13" s="34">
        <f>D14+D15</f>
        <v>0</v>
      </c>
      <c r="E13" s="48">
        <f>E14+E15</f>
        <v>0</v>
      </c>
      <c r="F13" s="28"/>
      <c r="G13" s="48">
        <f>G14+G15</f>
        <v>0</v>
      </c>
      <c r="H13" s="29">
        <f t="shared" ref="H13:H108" si="0">IFERROR(G13/E13,0)</f>
        <v>0</v>
      </c>
      <c r="I13" s="46"/>
    </row>
    <row r="14" spans="1:9" s="7" customFormat="1" x14ac:dyDescent="0.25">
      <c r="A14" s="38" t="s">
        <v>36</v>
      </c>
      <c r="B14" s="41" t="s">
        <v>37</v>
      </c>
      <c r="C14" s="16" t="s">
        <v>38</v>
      </c>
      <c r="D14" s="34">
        <f>D24-D21-D15</f>
        <v>0</v>
      </c>
      <c r="E14" s="49">
        <f>E24-E21-E15</f>
        <v>0</v>
      </c>
      <c r="F14" s="28"/>
      <c r="G14" s="49">
        <f>G24-G21-G15</f>
        <v>0</v>
      </c>
      <c r="H14" s="29">
        <f t="shared" si="0"/>
        <v>0</v>
      </c>
      <c r="I14" s="47"/>
    </row>
    <row r="15" spans="1:9" s="7" customFormat="1" x14ac:dyDescent="0.25">
      <c r="A15" s="38" t="s">
        <v>39</v>
      </c>
      <c r="B15" s="41" t="s">
        <v>40</v>
      </c>
      <c r="C15" s="16" t="s">
        <v>41</v>
      </c>
      <c r="D15" s="34">
        <f>D16+D20</f>
        <v>0</v>
      </c>
      <c r="E15" s="49">
        <f>E16+E20</f>
        <v>0</v>
      </c>
      <c r="F15" s="28"/>
      <c r="G15" s="49">
        <f>G16+G20</f>
        <v>0</v>
      </c>
      <c r="H15" s="29">
        <f t="shared" si="0"/>
        <v>0</v>
      </c>
    </row>
    <row r="16" spans="1:9" s="8" customFormat="1" x14ac:dyDescent="0.25">
      <c r="A16" s="38" t="s">
        <v>42</v>
      </c>
      <c r="B16" s="41" t="s">
        <v>43</v>
      </c>
      <c r="C16" s="16" t="s">
        <v>44</v>
      </c>
      <c r="D16" s="34"/>
      <c r="E16" s="24"/>
      <c r="F16" s="28"/>
      <c r="G16" s="49"/>
      <c r="H16" s="29">
        <f t="shared" si="0"/>
        <v>0</v>
      </c>
    </row>
    <row r="17" spans="1:8" s="8" customFormat="1" x14ac:dyDescent="0.25">
      <c r="A17" s="38" t="s">
        <v>45</v>
      </c>
      <c r="B17" s="41" t="s">
        <v>46</v>
      </c>
      <c r="C17" s="17" t="s">
        <v>47</v>
      </c>
      <c r="D17" s="34"/>
      <c r="E17" s="26"/>
      <c r="F17" s="28"/>
      <c r="G17" s="50"/>
      <c r="H17" s="29">
        <f t="shared" si="0"/>
        <v>0</v>
      </c>
    </row>
    <row r="18" spans="1:8" s="8" customFormat="1" x14ac:dyDescent="0.25">
      <c r="A18" s="38" t="s">
        <v>48</v>
      </c>
      <c r="B18" s="41" t="s">
        <v>49</v>
      </c>
      <c r="C18" s="17" t="s">
        <v>50</v>
      </c>
      <c r="D18" s="34"/>
      <c r="E18" s="26"/>
      <c r="F18" s="28"/>
      <c r="G18" s="50"/>
      <c r="H18" s="29">
        <f t="shared" si="0"/>
        <v>0</v>
      </c>
    </row>
    <row r="19" spans="1:8" s="8" customFormat="1" x14ac:dyDescent="0.25">
      <c r="A19" s="38" t="s">
        <v>51</v>
      </c>
      <c r="B19" s="41" t="s">
        <v>52</v>
      </c>
      <c r="C19" s="18" t="s">
        <v>53</v>
      </c>
      <c r="D19" s="34"/>
      <c r="E19" s="26"/>
      <c r="F19" s="28"/>
      <c r="G19" s="50"/>
      <c r="H19" s="29">
        <f t="shared" si="0"/>
        <v>0</v>
      </c>
    </row>
    <row r="20" spans="1:8" s="8" customFormat="1" x14ac:dyDescent="0.25">
      <c r="A20" s="38" t="s">
        <v>54</v>
      </c>
      <c r="B20" s="41" t="s">
        <v>55</v>
      </c>
      <c r="C20" s="19" t="s">
        <v>56</v>
      </c>
      <c r="D20" s="34"/>
      <c r="E20" s="24"/>
      <c r="F20" s="28"/>
      <c r="G20" s="49"/>
      <c r="H20" s="29">
        <f t="shared" si="0"/>
        <v>0</v>
      </c>
    </row>
    <row r="21" spans="1:8" x14ac:dyDescent="0.25">
      <c r="A21" s="38" t="s">
        <v>57</v>
      </c>
      <c r="B21" s="41" t="s">
        <v>58</v>
      </c>
      <c r="C21" s="15" t="s">
        <v>59</v>
      </c>
      <c r="D21" s="34">
        <f>D22+D23</f>
        <v>0</v>
      </c>
      <c r="E21" s="49">
        <f>E22+E23</f>
        <v>0</v>
      </c>
      <c r="F21" s="28"/>
      <c r="G21" s="49">
        <f>G22+G23</f>
        <v>0</v>
      </c>
      <c r="H21" s="29">
        <f t="shared" si="0"/>
        <v>0</v>
      </c>
    </row>
    <row r="22" spans="1:8" x14ac:dyDescent="0.25">
      <c r="A22" s="38" t="s">
        <v>60</v>
      </c>
      <c r="B22" s="41" t="s">
        <v>61</v>
      </c>
      <c r="C22" s="18" t="s">
        <v>62</v>
      </c>
      <c r="D22" s="34"/>
      <c r="E22" s="24"/>
      <c r="F22" s="28"/>
      <c r="G22" s="49"/>
      <c r="H22" s="29">
        <f t="shared" si="0"/>
        <v>0</v>
      </c>
    </row>
    <row r="23" spans="1:8" x14ac:dyDescent="0.25">
      <c r="A23" s="38" t="s">
        <v>63</v>
      </c>
      <c r="B23" s="41" t="s">
        <v>64</v>
      </c>
      <c r="C23" s="18" t="s">
        <v>65</v>
      </c>
      <c r="D23" s="34"/>
      <c r="E23" s="24"/>
      <c r="F23" s="28"/>
      <c r="G23" s="49"/>
      <c r="H23" s="29">
        <f t="shared" si="0"/>
        <v>0</v>
      </c>
    </row>
    <row r="24" spans="1:8" s="2" customFormat="1" x14ac:dyDescent="0.25">
      <c r="A24" s="38" t="s">
        <v>66</v>
      </c>
      <c r="B24" s="41" t="s">
        <v>67</v>
      </c>
      <c r="C24" s="20" t="s">
        <v>68</v>
      </c>
      <c r="D24" s="34">
        <f>D25+D60+D87</f>
        <v>0</v>
      </c>
      <c r="E24" s="48">
        <f>E25+E60+E87</f>
        <v>0</v>
      </c>
      <c r="F24" s="28"/>
      <c r="G24" s="49">
        <f>G25+G60+G87</f>
        <v>0</v>
      </c>
      <c r="H24" s="29">
        <f t="shared" si="0"/>
        <v>0</v>
      </c>
    </row>
    <row r="25" spans="1:8" s="7" customFormat="1" x14ac:dyDescent="0.25">
      <c r="A25" s="38" t="s">
        <v>69</v>
      </c>
      <c r="B25" s="41" t="s">
        <v>70</v>
      </c>
      <c r="C25" s="15" t="s">
        <v>71</v>
      </c>
      <c r="D25" s="34">
        <f>SUM(D26:D51)-D32-D47+D59</f>
        <v>0</v>
      </c>
      <c r="E25" s="49">
        <f>SUM(E26:E51)-E32-E47+E59</f>
        <v>0</v>
      </c>
      <c r="F25" s="28"/>
      <c r="G25" s="49">
        <f>SUM(G26:G51)-G32-G47+G59</f>
        <v>0</v>
      </c>
      <c r="H25" s="29">
        <f t="shared" si="0"/>
        <v>0</v>
      </c>
    </row>
    <row r="26" spans="1:8" x14ac:dyDescent="0.25">
      <c r="A26" s="38" t="s">
        <v>72</v>
      </c>
      <c r="B26" s="41" t="s">
        <v>73</v>
      </c>
      <c r="C26" s="19" t="s">
        <v>74</v>
      </c>
      <c r="D26" s="34"/>
      <c r="E26" s="24"/>
      <c r="F26" s="28"/>
      <c r="G26" s="24"/>
      <c r="H26" s="29">
        <f t="shared" si="0"/>
        <v>0</v>
      </c>
    </row>
    <row r="27" spans="1:8" x14ac:dyDescent="0.25">
      <c r="A27" s="38" t="s">
        <v>75</v>
      </c>
      <c r="B27" s="41" t="s">
        <v>76</v>
      </c>
      <c r="C27" s="19" t="s">
        <v>77</v>
      </c>
      <c r="D27" s="34"/>
      <c r="E27" s="26"/>
      <c r="F27" s="28"/>
      <c r="G27" s="26"/>
      <c r="H27" s="29">
        <f t="shared" si="0"/>
        <v>0</v>
      </c>
    </row>
    <row r="28" spans="1:8" x14ac:dyDescent="0.25">
      <c r="A28" s="38" t="s">
        <v>78</v>
      </c>
      <c r="B28" s="41" t="s">
        <v>79</v>
      </c>
      <c r="C28" s="21" t="s">
        <v>80</v>
      </c>
      <c r="D28" s="34"/>
      <c r="E28" s="26"/>
      <c r="F28" s="28"/>
      <c r="G28" s="26"/>
      <c r="H28" s="29">
        <f t="shared" si="0"/>
        <v>0</v>
      </c>
    </row>
    <row r="29" spans="1:8" x14ac:dyDescent="0.25">
      <c r="A29" s="38" t="s">
        <v>81</v>
      </c>
      <c r="B29" s="41" t="s">
        <v>82</v>
      </c>
      <c r="C29" s="21" t="s">
        <v>83</v>
      </c>
      <c r="D29" s="34"/>
      <c r="E29" s="24"/>
      <c r="F29" s="28"/>
      <c r="G29" s="24"/>
      <c r="H29" s="29">
        <f t="shared" si="0"/>
        <v>0</v>
      </c>
    </row>
    <row r="30" spans="1:8" x14ac:dyDescent="0.25">
      <c r="A30" s="38" t="s">
        <v>84</v>
      </c>
      <c r="B30" s="41" t="s">
        <v>85</v>
      </c>
      <c r="C30" s="21" t="s">
        <v>86</v>
      </c>
      <c r="D30" s="34"/>
      <c r="E30" s="24"/>
      <c r="F30" s="28"/>
      <c r="G30" s="26"/>
      <c r="H30" s="29">
        <f t="shared" si="0"/>
        <v>0</v>
      </c>
    </row>
    <row r="31" spans="1:8" ht="47.25" x14ac:dyDescent="0.25">
      <c r="A31" s="38" t="s">
        <v>87</v>
      </c>
      <c r="B31" s="41" t="s">
        <v>88</v>
      </c>
      <c r="C31" s="21" t="s">
        <v>89</v>
      </c>
      <c r="D31" s="34"/>
      <c r="E31" s="24"/>
      <c r="F31" s="28"/>
      <c r="G31" s="26"/>
      <c r="H31" s="29">
        <f t="shared" si="0"/>
        <v>0</v>
      </c>
    </row>
    <row r="32" spans="1:8" x14ac:dyDescent="0.25">
      <c r="A32" s="38" t="s">
        <v>90</v>
      </c>
      <c r="B32" s="41" t="s">
        <v>91</v>
      </c>
      <c r="C32" s="22" t="s">
        <v>295</v>
      </c>
      <c r="D32" s="34"/>
      <c r="E32" s="24"/>
      <c r="F32" s="28"/>
      <c r="G32" s="26"/>
      <c r="H32" s="29">
        <f t="shared" si="0"/>
        <v>0</v>
      </c>
    </row>
    <row r="33" spans="1:8" x14ac:dyDescent="0.25">
      <c r="A33" s="38" t="s">
        <v>92</v>
      </c>
      <c r="B33" s="41" t="s">
        <v>93</v>
      </c>
      <c r="C33" s="21" t="s">
        <v>94</v>
      </c>
      <c r="D33" s="34"/>
      <c r="E33" s="24"/>
      <c r="F33" s="28"/>
      <c r="G33" s="25"/>
      <c r="H33" s="29">
        <f t="shared" si="0"/>
        <v>0</v>
      </c>
    </row>
    <row r="34" spans="1:8" x14ac:dyDescent="0.25">
      <c r="A34" s="38" t="s">
        <v>95</v>
      </c>
      <c r="B34" s="41" t="s">
        <v>96</v>
      </c>
      <c r="C34" s="21" t="s">
        <v>97</v>
      </c>
      <c r="D34" s="34"/>
      <c r="E34" s="24"/>
      <c r="F34" s="28"/>
      <c r="G34" s="26"/>
      <c r="H34" s="29">
        <f t="shared" si="0"/>
        <v>0</v>
      </c>
    </row>
    <row r="35" spans="1:8" x14ac:dyDescent="0.25">
      <c r="A35" s="38" t="s">
        <v>98</v>
      </c>
      <c r="B35" s="41" t="s">
        <v>99</v>
      </c>
      <c r="C35" s="21" t="s">
        <v>100</v>
      </c>
      <c r="D35" s="34"/>
      <c r="E35" s="24"/>
      <c r="F35" s="28"/>
      <c r="G35" s="26"/>
      <c r="H35" s="29">
        <f t="shared" si="0"/>
        <v>0</v>
      </c>
    </row>
    <row r="36" spans="1:8" x14ac:dyDescent="0.25">
      <c r="A36" s="38" t="s">
        <v>101</v>
      </c>
      <c r="B36" s="41" t="s">
        <v>102</v>
      </c>
      <c r="C36" s="21" t="s">
        <v>103</v>
      </c>
      <c r="D36" s="34"/>
      <c r="E36" s="24"/>
      <c r="F36" s="28"/>
      <c r="G36" s="26"/>
      <c r="H36" s="29">
        <f t="shared" si="0"/>
        <v>0</v>
      </c>
    </row>
    <row r="37" spans="1:8" ht="31.5" x14ac:dyDescent="0.25">
      <c r="A37" s="38" t="s">
        <v>104</v>
      </c>
      <c r="B37" s="41" t="s">
        <v>105</v>
      </c>
      <c r="C37" s="21" t="s">
        <v>106</v>
      </c>
      <c r="D37" s="34"/>
      <c r="E37" s="24"/>
      <c r="F37" s="28"/>
      <c r="G37" s="26"/>
      <c r="H37" s="29">
        <f t="shared" si="0"/>
        <v>0</v>
      </c>
    </row>
    <row r="38" spans="1:8" ht="31.5" x14ac:dyDescent="0.25">
      <c r="A38" s="38" t="s">
        <v>107</v>
      </c>
      <c r="B38" s="41" t="s">
        <v>108</v>
      </c>
      <c r="C38" s="21" t="s">
        <v>109</v>
      </c>
      <c r="D38" s="34"/>
      <c r="E38" s="24"/>
      <c r="F38" s="28"/>
      <c r="G38" s="26"/>
      <c r="H38" s="29">
        <f t="shared" si="0"/>
        <v>0</v>
      </c>
    </row>
    <row r="39" spans="1:8" ht="31.5" x14ac:dyDescent="0.25">
      <c r="A39" s="38" t="s">
        <v>110</v>
      </c>
      <c r="B39" s="41" t="s">
        <v>111</v>
      </c>
      <c r="C39" s="21" t="s">
        <v>112</v>
      </c>
      <c r="D39" s="34"/>
      <c r="E39" s="24"/>
      <c r="F39" s="28"/>
      <c r="G39" s="26"/>
      <c r="H39" s="29">
        <f t="shared" si="0"/>
        <v>0</v>
      </c>
    </row>
    <row r="40" spans="1:8" x14ac:dyDescent="0.25">
      <c r="A40" s="38" t="s">
        <v>113</v>
      </c>
      <c r="B40" s="41" t="s">
        <v>114</v>
      </c>
      <c r="C40" s="21" t="s">
        <v>115</v>
      </c>
      <c r="D40" s="34"/>
      <c r="E40" s="24"/>
      <c r="F40" s="28"/>
      <c r="G40" s="26"/>
      <c r="H40" s="29">
        <f t="shared" si="0"/>
        <v>0</v>
      </c>
    </row>
    <row r="41" spans="1:8" x14ac:dyDescent="0.25">
      <c r="A41" s="38" t="s">
        <v>116</v>
      </c>
      <c r="B41" s="41" t="s">
        <v>117</v>
      </c>
      <c r="C41" s="21" t="s">
        <v>118</v>
      </c>
      <c r="D41" s="34"/>
      <c r="E41" s="24"/>
      <c r="F41" s="28"/>
      <c r="G41" s="26"/>
      <c r="H41" s="29">
        <f t="shared" si="0"/>
        <v>0</v>
      </c>
    </row>
    <row r="42" spans="1:8" x14ac:dyDescent="0.25">
      <c r="A42" s="38" t="s">
        <v>119</v>
      </c>
      <c r="B42" s="41" t="s">
        <v>120</v>
      </c>
      <c r="C42" s="21" t="s">
        <v>121</v>
      </c>
      <c r="D42" s="34"/>
      <c r="E42" s="24"/>
      <c r="F42" s="28"/>
      <c r="G42" s="26"/>
      <c r="H42" s="29">
        <f t="shared" si="0"/>
        <v>0</v>
      </c>
    </row>
    <row r="43" spans="1:8" x14ac:dyDescent="0.25">
      <c r="A43" s="38" t="s">
        <v>122</v>
      </c>
      <c r="B43" s="41" t="s">
        <v>123</v>
      </c>
      <c r="C43" s="21" t="s">
        <v>124</v>
      </c>
      <c r="D43" s="34"/>
      <c r="E43" s="24"/>
      <c r="F43" s="28"/>
      <c r="G43" s="26"/>
      <c r="H43" s="29">
        <f t="shared" si="0"/>
        <v>0</v>
      </c>
    </row>
    <row r="44" spans="1:8" ht="31.5" x14ac:dyDescent="0.25">
      <c r="A44" s="38" t="s">
        <v>125</v>
      </c>
      <c r="B44" s="41" t="s">
        <v>126</v>
      </c>
      <c r="C44" s="21" t="s">
        <v>127</v>
      </c>
      <c r="D44" s="34"/>
      <c r="E44" s="24"/>
      <c r="F44" s="28"/>
      <c r="G44" s="26"/>
      <c r="H44" s="29">
        <f t="shared" si="0"/>
        <v>0</v>
      </c>
    </row>
    <row r="45" spans="1:8" ht="47.25" x14ac:dyDescent="0.25">
      <c r="A45" s="38" t="s">
        <v>128</v>
      </c>
      <c r="B45" s="41" t="s">
        <v>129</v>
      </c>
      <c r="C45" s="21" t="s">
        <v>130</v>
      </c>
      <c r="D45" s="34"/>
      <c r="E45" s="24"/>
      <c r="F45" s="28"/>
      <c r="G45" s="26"/>
      <c r="H45" s="29">
        <f t="shared" si="0"/>
        <v>0</v>
      </c>
    </row>
    <row r="46" spans="1:8" x14ac:dyDescent="0.25">
      <c r="A46" s="38" t="s">
        <v>131</v>
      </c>
      <c r="B46" s="41" t="s">
        <v>132</v>
      </c>
      <c r="C46" s="21" t="s">
        <v>133</v>
      </c>
      <c r="D46" s="34"/>
      <c r="E46" s="24"/>
      <c r="F46" s="28"/>
      <c r="G46" s="26"/>
      <c r="H46" s="29">
        <f t="shared" si="0"/>
        <v>0</v>
      </c>
    </row>
    <row r="47" spans="1:8" x14ac:dyDescent="0.25">
      <c r="A47" s="38" t="s">
        <v>134</v>
      </c>
      <c r="B47" s="41" t="s">
        <v>135</v>
      </c>
      <c r="C47" s="44" t="s">
        <v>136</v>
      </c>
      <c r="D47" s="34"/>
      <c r="E47" s="24"/>
      <c r="F47" s="28"/>
      <c r="G47" s="26"/>
      <c r="H47" s="29">
        <f t="shared" si="0"/>
        <v>0</v>
      </c>
    </row>
    <row r="48" spans="1:8" x14ac:dyDescent="0.25">
      <c r="A48" s="38" t="s">
        <v>137</v>
      </c>
      <c r="B48" s="41" t="s">
        <v>138</v>
      </c>
      <c r="C48" s="21" t="s">
        <v>139</v>
      </c>
      <c r="D48" s="34"/>
      <c r="E48" s="24"/>
      <c r="F48" s="28"/>
      <c r="G48" s="26"/>
      <c r="H48" s="29">
        <f t="shared" si="0"/>
        <v>0</v>
      </c>
    </row>
    <row r="49" spans="1:8" ht="31.5" x14ac:dyDescent="0.25">
      <c r="A49" s="38" t="s">
        <v>140</v>
      </c>
      <c r="B49" s="41" t="s">
        <v>141</v>
      </c>
      <c r="C49" s="21" t="s">
        <v>142</v>
      </c>
      <c r="D49" s="34"/>
      <c r="E49" s="24"/>
      <c r="F49" s="28"/>
      <c r="G49" s="26"/>
      <c r="H49" s="29">
        <f t="shared" si="0"/>
        <v>0</v>
      </c>
    </row>
    <row r="50" spans="1:8" ht="31.5" x14ac:dyDescent="0.25">
      <c r="A50" s="38" t="s">
        <v>143</v>
      </c>
      <c r="B50" s="41" t="s">
        <v>144</v>
      </c>
      <c r="C50" s="21" t="s">
        <v>145</v>
      </c>
      <c r="D50" s="34"/>
      <c r="E50" s="24"/>
      <c r="F50" s="28"/>
      <c r="G50" s="26"/>
      <c r="H50" s="29">
        <f t="shared" si="0"/>
        <v>0</v>
      </c>
    </row>
    <row r="51" spans="1:8" x14ac:dyDescent="0.25">
      <c r="A51" s="38" t="s">
        <v>146</v>
      </c>
      <c r="B51" s="41" t="s">
        <v>147</v>
      </c>
      <c r="C51" s="21" t="s">
        <v>148</v>
      </c>
      <c r="D51" s="34">
        <f>SUM(D52:D58)</f>
        <v>0</v>
      </c>
      <c r="E51" s="49">
        <f t="shared" ref="E51:G51" si="1">SUM(E52:E58)</f>
        <v>0</v>
      </c>
      <c r="F51" s="51">
        <f t="shared" si="1"/>
        <v>0</v>
      </c>
      <c r="G51" s="50">
        <f t="shared" si="1"/>
        <v>0</v>
      </c>
      <c r="H51" s="29">
        <f t="shared" si="0"/>
        <v>0</v>
      </c>
    </row>
    <row r="52" spans="1:8" x14ac:dyDescent="0.25">
      <c r="A52" s="38" t="s">
        <v>149</v>
      </c>
      <c r="B52" s="41" t="s">
        <v>150</v>
      </c>
      <c r="C52" s="21" t="s">
        <v>151</v>
      </c>
      <c r="D52" s="34"/>
      <c r="E52" s="24"/>
      <c r="F52" s="28"/>
      <c r="G52" s="26"/>
      <c r="H52" s="29">
        <f t="shared" si="0"/>
        <v>0</v>
      </c>
    </row>
    <row r="53" spans="1:8" x14ac:dyDescent="0.25">
      <c r="A53" s="38" t="s">
        <v>152</v>
      </c>
      <c r="B53" s="41" t="s">
        <v>153</v>
      </c>
      <c r="C53" s="21" t="s">
        <v>154</v>
      </c>
      <c r="D53" s="34"/>
      <c r="E53" s="24"/>
      <c r="F53" s="28"/>
      <c r="G53" s="26"/>
      <c r="H53" s="29">
        <f t="shared" si="0"/>
        <v>0</v>
      </c>
    </row>
    <row r="54" spans="1:8" x14ac:dyDescent="0.25">
      <c r="A54" s="38" t="s">
        <v>155</v>
      </c>
      <c r="B54" s="41" t="s">
        <v>156</v>
      </c>
      <c r="C54" s="21" t="s">
        <v>157</v>
      </c>
      <c r="D54" s="34"/>
      <c r="E54" s="24"/>
      <c r="F54" s="28"/>
      <c r="G54" s="26"/>
      <c r="H54" s="29">
        <f t="shared" si="0"/>
        <v>0</v>
      </c>
    </row>
    <row r="55" spans="1:8" x14ac:dyDescent="0.25">
      <c r="A55" s="38" t="s">
        <v>158</v>
      </c>
      <c r="B55" s="41" t="s">
        <v>159</v>
      </c>
      <c r="C55" s="21" t="s">
        <v>160</v>
      </c>
      <c r="D55" s="34"/>
      <c r="E55" s="24"/>
      <c r="F55" s="28"/>
      <c r="G55" s="26"/>
      <c r="H55" s="29">
        <f t="shared" si="0"/>
        <v>0</v>
      </c>
    </row>
    <row r="56" spans="1:8" x14ac:dyDescent="0.25">
      <c r="A56" s="38" t="s">
        <v>161</v>
      </c>
      <c r="B56" s="41" t="s">
        <v>162</v>
      </c>
      <c r="C56" s="21" t="s">
        <v>163</v>
      </c>
      <c r="D56" s="34"/>
      <c r="E56" s="24"/>
      <c r="F56" s="28"/>
      <c r="G56" s="26"/>
      <c r="H56" s="29">
        <f t="shared" si="0"/>
        <v>0</v>
      </c>
    </row>
    <row r="57" spans="1:8" x14ac:dyDescent="0.25">
      <c r="A57" s="38" t="s">
        <v>164</v>
      </c>
      <c r="B57" s="41" t="s">
        <v>165</v>
      </c>
      <c r="C57" s="21" t="s">
        <v>166</v>
      </c>
      <c r="D57" s="34"/>
      <c r="E57" s="24"/>
      <c r="F57" s="28"/>
      <c r="G57" s="26"/>
      <c r="H57" s="29">
        <f t="shared" si="0"/>
        <v>0</v>
      </c>
    </row>
    <row r="58" spans="1:8" x14ac:dyDescent="0.25">
      <c r="A58" s="38" t="s">
        <v>167</v>
      </c>
      <c r="B58" s="41" t="s">
        <v>168</v>
      </c>
      <c r="C58" s="21" t="s">
        <v>169</v>
      </c>
      <c r="D58" s="34"/>
      <c r="E58" s="24"/>
      <c r="F58" s="28"/>
      <c r="G58" s="26"/>
      <c r="H58" s="29">
        <f t="shared" si="0"/>
        <v>0</v>
      </c>
    </row>
    <row r="59" spans="1:8" x14ac:dyDescent="0.25">
      <c r="A59" s="38" t="s">
        <v>170</v>
      </c>
      <c r="B59" s="41" t="s">
        <v>171</v>
      </c>
      <c r="C59" s="21" t="s">
        <v>172</v>
      </c>
      <c r="D59" s="34"/>
      <c r="E59" s="24"/>
      <c r="F59" s="28"/>
      <c r="G59" s="26"/>
      <c r="H59" s="29">
        <f t="shared" si="0"/>
        <v>0</v>
      </c>
    </row>
    <row r="60" spans="1:8" x14ac:dyDescent="0.25">
      <c r="A60" s="38" t="s">
        <v>173</v>
      </c>
      <c r="B60" s="41" t="s">
        <v>174</v>
      </c>
      <c r="C60" s="45" t="s">
        <v>175</v>
      </c>
      <c r="D60" s="34">
        <f>SUM(D61:D86)-D67-D82</f>
        <v>0</v>
      </c>
      <c r="E60" s="49">
        <f>SUM(E61:E86)-E67-E82</f>
        <v>0</v>
      </c>
      <c r="F60" s="51"/>
      <c r="G60" s="50">
        <f>SUM(G61:G86)-G67-G82</f>
        <v>0</v>
      </c>
      <c r="H60" s="29">
        <f t="shared" si="0"/>
        <v>0</v>
      </c>
    </row>
    <row r="61" spans="1:8" x14ac:dyDescent="0.25">
      <c r="A61" s="38" t="s">
        <v>176</v>
      </c>
      <c r="B61" s="41" t="s">
        <v>177</v>
      </c>
      <c r="C61" s="21" t="s">
        <v>74</v>
      </c>
      <c r="D61" s="34"/>
      <c r="E61" s="24"/>
      <c r="F61" s="28"/>
      <c r="G61" s="26"/>
      <c r="H61" s="29">
        <f t="shared" si="0"/>
        <v>0</v>
      </c>
    </row>
    <row r="62" spans="1:8" x14ac:dyDescent="0.25">
      <c r="A62" s="38" t="s">
        <v>178</v>
      </c>
      <c r="B62" s="41" t="s">
        <v>179</v>
      </c>
      <c r="C62" s="21" t="s">
        <v>77</v>
      </c>
      <c r="D62" s="34"/>
      <c r="E62" s="24"/>
      <c r="F62" s="28"/>
      <c r="G62" s="26"/>
      <c r="H62" s="29">
        <f t="shared" si="0"/>
        <v>0</v>
      </c>
    </row>
    <row r="63" spans="1:8" x14ac:dyDescent="0.25">
      <c r="A63" s="38" t="s">
        <v>180</v>
      </c>
      <c r="B63" s="41" t="s">
        <v>181</v>
      </c>
      <c r="C63" s="21" t="s">
        <v>80</v>
      </c>
      <c r="D63" s="34"/>
      <c r="E63" s="24"/>
      <c r="F63" s="28"/>
      <c r="G63" s="26"/>
      <c r="H63" s="29">
        <f t="shared" si="0"/>
        <v>0</v>
      </c>
    </row>
    <row r="64" spans="1:8" x14ac:dyDescent="0.25">
      <c r="A64" s="38" t="s">
        <v>182</v>
      </c>
      <c r="B64" s="41" t="s">
        <v>183</v>
      </c>
      <c r="C64" s="21" t="s">
        <v>83</v>
      </c>
      <c r="D64" s="34"/>
      <c r="E64" s="24"/>
      <c r="F64" s="28"/>
      <c r="G64" s="26"/>
      <c r="H64" s="29">
        <f t="shared" si="0"/>
        <v>0</v>
      </c>
    </row>
    <row r="65" spans="1:8" x14ac:dyDescent="0.25">
      <c r="A65" s="38" t="s">
        <v>184</v>
      </c>
      <c r="B65" s="41" t="s">
        <v>185</v>
      </c>
      <c r="C65" s="21" t="s">
        <v>86</v>
      </c>
      <c r="D65" s="34"/>
      <c r="E65" s="24"/>
      <c r="F65" s="28"/>
      <c r="G65" s="26"/>
      <c r="H65" s="29">
        <f t="shared" si="0"/>
        <v>0</v>
      </c>
    </row>
    <row r="66" spans="1:8" ht="47.25" x14ac:dyDescent="0.25">
      <c r="A66" s="38" t="s">
        <v>186</v>
      </c>
      <c r="B66" s="41" t="s">
        <v>187</v>
      </c>
      <c r="C66" s="21" t="s">
        <v>89</v>
      </c>
      <c r="D66" s="34"/>
      <c r="E66" s="24"/>
      <c r="F66" s="28"/>
      <c r="G66" s="26"/>
      <c r="H66" s="29">
        <f t="shared" si="0"/>
        <v>0</v>
      </c>
    </row>
    <row r="67" spans="1:8" x14ac:dyDescent="0.25">
      <c r="A67" s="38" t="s">
        <v>188</v>
      </c>
      <c r="B67" s="41" t="s">
        <v>189</v>
      </c>
      <c r="C67" s="44" t="s">
        <v>295</v>
      </c>
      <c r="D67" s="34"/>
      <c r="E67" s="24"/>
      <c r="F67" s="28"/>
      <c r="G67" s="26"/>
      <c r="H67" s="29">
        <f t="shared" si="0"/>
        <v>0</v>
      </c>
    </row>
    <row r="68" spans="1:8" x14ac:dyDescent="0.25">
      <c r="A68" s="38" t="s">
        <v>190</v>
      </c>
      <c r="B68" s="41" t="s">
        <v>191</v>
      </c>
      <c r="C68" s="21" t="s">
        <v>94</v>
      </c>
      <c r="D68" s="34"/>
      <c r="E68" s="24"/>
      <c r="F68" s="28"/>
      <c r="G68" s="26"/>
      <c r="H68" s="29">
        <f t="shared" si="0"/>
        <v>0</v>
      </c>
    </row>
    <row r="69" spans="1:8" x14ac:dyDescent="0.25">
      <c r="A69" s="38" t="s">
        <v>192</v>
      </c>
      <c r="B69" s="41" t="s">
        <v>193</v>
      </c>
      <c r="C69" s="21" t="s">
        <v>97</v>
      </c>
      <c r="D69" s="34"/>
      <c r="E69" s="24"/>
      <c r="F69" s="28"/>
      <c r="G69" s="26"/>
      <c r="H69" s="29">
        <f t="shared" si="0"/>
        <v>0</v>
      </c>
    </row>
    <row r="70" spans="1:8" x14ac:dyDescent="0.25">
      <c r="A70" s="38" t="s">
        <v>194</v>
      </c>
      <c r="B70" s="41" t="s">
        <v>195</v>
      </c>
      <c r="C70" s="21" t="s">
        <v>100</v>
      </c>
      <c r="D70" s="34"/>
      <c r="E70" s="24"/>
      <c r="F70" s="28"/>
      <c r="G70" s="26"/>
      <c r="H70" s="29">
        <f t="shared" si="0"/>
        <v>0</v>
      </c>
    </row>
    <row r="71" spans="1:8" x14ac:dyDescent="0.25">
      <c r="A71" s="38" t="s">
        <v>196</v>
      </c>
      <c r="B71" s="41" t="s">
        <v>197</v>
      </c>
      <c r="C71" s="21" t="s">
        <v>103</v>
      </c>
      <c r="D71" s="34"/>
      <c r="E71" s="24"/>
      <c r="F71" s="28"/>
      <c r="G71" s="26"/>
      <c r="H71" s="29">
        <f t="shared" si="0"/>
        <v>0</v>
      </c>
    </row>
    <row r="72" spans="1:8" ht="31.5" x14ac:dyDescent="0.25">
      <c r="A72" s="38" t="s">
        <v>198</v>
      </c>
      <c r="B72" s="41" t="s">
        <v>199</v>
      </c>
      <c r="C72" s="21" t="s">
        <v>106</v>
      </c>
      <c r="D72" s="34"/>
      <c r="E72" s="24"/>
      <c r="F72" s="28"/>
      <c r="G72" s="26"/>
      <c r="H72" s="29">
        <f t="shared" si="0"/>
        <v>0</v>
      </c>
    </row>
    <row r="73" spans="1:8" ht="31.5" x14ac:dyDescent="0.25">
      <c r="A73" s="38" t="s">
        <v>200</v>
      </c>
      <c r="B73" s="41" t="s">
        <v>201</v>
      </c>
      <c r="C73" s="21" t="s">
        <v>109</v>
      </c>
      <c r="D73" s="34"/>
      <c r="E73" s="24"/>
      <c r="F73" s="28"/>
      <c r="G73" s="26"/>
      <c r="H73" s="29">
        <f t="shared" si="0"/>
        <v>0</v>
      </c>
    </row>
    <row r="74" spans="1:8" ht="31.5" x14ac:dyDescent="0.25">
      <c r="A74" s="38" t="s">
        <v>202</v>
      </c>
      <c r="B74" s="41" t="s">
        <v>203</v>
      </c>
      <c r="C74" s="21" t="s">
        <v>112</v>
      </c>
      <c r="D74" s="34"/>
      <c r="E74" s="24"/>
      <c r="F74" s="28"/>
      <c r="G74" s="26"/>
      <c r="H74" s="29">
        <f t="shared" si="0"/>
        <v>0</v>
      </c>
    </row>
    <row r="75" spans="1:8" x14ac:dyDescent="0.25">
      <c r="A75" s="38" t="s">
        <v>204</v>
      </c>
      <c r="B75" s="41" t="s">
        <v>205</v>
      </c>
      <c r="C75" s="21" t="s">
        <v>115</v>
      </c>
      <c r="D75" s="34"/>
      <c r="E75" s="24"/>
      <c r="F75" s="28"/>
      <c r="G75" s="26"/>
      <c r="H75" s="29">
        <f t="shared" si="0"/>
        <v>0</v>
      </c>
    </row>
    <row r="76" spans="1:8" x14ac:dyDescent="0.25">
      <c r="A76" s="38" t="s">
        <v>206</v>
      </c>
      <c r="B76" s="41" t="s">
        <v>207</v>
      </c>
      <c r="C76" s="21" t="s">
        <v>118</v>
      </c>
      <c r="D76" s="34"/>
      <c r="E76" s="24"/>
      <c r="F76" s="28"/>
      <c r="G76" s="26"/>
      <c r="H76" s="29">
        <f t="shared" si="0"/>
        <v>0</v>
      </c>
    </row>
    <row r="77" spans="1:8" x14ac:dyDescent="0.25">
      <c r="A77" s="38" t="s">
        <v>208</v>
      </c>
      <c r="B77" s="41" t="s">
        <v>209</v>
      </c>
      <c r="C77" s="21" t="s">
        <v>121</v>
      </c>
      <c r="D77" s="34"/>
      <c r="E77" s="24"/>
      <c r="F77" s="28"/>
      <c r="G77" s="26"/>
      <c r="H77" s="29">
        <f t="shared" si="0"/>
        <v>0</v>
      </c>
    </row>
    <row r="78" spans="1:8" x14ac:dyDescent="0.25">
      <c r="A78" s="38" t="s">
        <v>210</v>
      </c>
      <c r="B78" s="41" t="s">
        <v>211</v>
      </c>
      <c r="C78" s="21" t="s">
        <v>124</v>
      </c>
      <c r="D78" s="34"/>
      <c r="E78" s="24"/>
      <c r="F78" s="28"/>
      <c r="G78" s="26"/>
      <c r="H78" s="29">
        <f t="shared" si="0"/>
        <v>0</v>
      </c>
    </row>
    <row r="79" spans="1:8" ht="31.5" x14ac:dyDescent="0.25">
      <c r="A79" s="38" t="s">
        <v>212</v>
      </c>
      <c r="B79" s="41" t="s">
        <v>213</v>
      </c>
      <c r="C79" s="21" t="s">
        <v>127</v>
      </c>
      <c r="D79" s="34"/>
      <c r="E79" s="24"/>
      <c r="F79" s="28"/>
      <c r="G79" s="26"/>
      <c r="H79" s="29">
        <f t="shared" si="0"/>
        <v>0</v>
      </c>
    </row>
    <row r="80" spans="1:8" ht="47.25" x14ac:dyDescent="0.25">
      <c r="A80" s="38" t="s">
        <v>214</v>
      </c>
      <c r="B80" s="41" t="s">
        <v>215</v>
      </c>
      <c r="C80" s="21" t="s">
        <v>130</v>
      </c>
      <c r="D80" s="34"/>
      <c r="E80" s="24"/>
      <c r="F80" s="28"/>
      <c r="G80" s="26"/>
      <c r="H80" s="29">
        <f t="shared" si="0"/>
        <v>0</v>
      </c>
    </row>
    <row r="81" spans="1:8" x14ac:dyDescent="0.25">
      <c r="A81" s="38" t="s">
        <v>216</v>
      </c>
      <c r="B81" s="41" t="s">
        <v>217</v>
      </c>
      <c r="C81" s="21" t="s">
        <v>133</v>
      </c>
      <c r="D81" s="34"/>
      <c r="E81" s="24"/>
      <c r="F81" s="28"/>
      <c r="G81" s="26"/>
      <c r="H81" s="29">
        <f t="shared" si="0"/>
        <v>0</v>
      </c>
    </row>
    <row r="82" spans="1:8" x14ac:dyDescent="0.25">
      <c r="A82" s="38" t="s">
        <v>218</v>
      </c>
      <c r="B82" s="41" t="s">
        <v>219</v>
      </c>
      <c r="C82" s="44" t="s">
        <v>136</v>
      </c>
      <c r="D82" s="34"/>
      <c r="E82" s="24"/>
      <c r="F82" s="28"/>
      <c r="G82" s="26"/>
      <c r="H82" s="29">
        <f t="shared" si="0"/>
        <v>0</v>
      </c>
    </row>
    <row r="83" spans="1:8" x14ac:dyDescent="0.25">
      <c r="A83" s="38" t="s">
        <v>220</v>
      </c>
      <c r="B83" s="41" t="s">
        <v>221</v>
      </c>
      <c r="C83" s="21" t="s">
        <v>139</v>
      </c>
      <c r="D83" s="34"/>
      <c r="E83" s="24"/>
      <c r="F83" s="28"/>
      <c r="G83" s="26"/>
      <c r="H83" s="29">
        <f t="shared" si="0"/>
        <v>0</v>
      </c>
    </row>
    <row r="84" spans="1:8" ht="31.5" x14ac:dyDescent="0.25">
      <c r="A84" s="38" t="s">
        <v>222</v>
      </c>
      <c r="B84" s="41" t="s">
        <v>223</v>
      </c>
      <c r="C84" s="21" t="s">
        <v>142</v>
      </c>
      <c r="D84" s="34"/>
      <c r="E84" s="24"/>
      <c r="F84" s="28"/>
      <c r="G84" s="26"/>
      <c r="H84" s="29">
        <f t="shared" si="0"/>
        <v>0</v>
      </c>
    </row>
    <row r="85" spans="1:8" ht="31.5" x14ac:dyDescent="0.25">
      <c r="A85" s="38" t="s">
        <v>224</v>
      </c>
      <c r="B85" s="41" t="s">
        <v>225</v>
      </c>
      <c r="C85" s="21" t="s">
        <v>145</v>
      </c>
      <c r="D85" s="34"/>
      <c r="E85" s="24"/>
      <c r="F85" s="28"/>
      <c r="G85" s="26"/>
      <c r="H85" s="29">
        <f t="shared" si="0"/>
        <v>0</v>
      </c>
    </row>
    <row r="86" spans="1:8" x14ac:dyDescent="0.25">
      <c r="A86" s="38" t="s">
        <v>226</v>
      </c>
      <c r="B86" s="41" t="s">
        <v>227</v>
      </c>
      <c r="C86" s="21" t="s">
        <v>172</v>
      </c>
      <c r="D86" s="34"/>
      <c r="E86" s="24"/>
      <c r="F86" s="28"/>
      <c r="G86" s="26"/>
      <c r="H86" s="29">
        <f t="shared" si="0"/>
        <v>0</v>
      </c>
    </row>
    <row r="87" spans="1:8" x14ac:dyDescent="0.25">
      <c r="A87" s="38" t="s">
        <v>228</v>
      </c>
      <c r="B87" s="41" t="s">
        <v>229</v>
      </c>
      <c r="C87" s="45" t="s">
        <v>230</v>
      </c>
      <c r="D87" s="34"/>
      <c r="E87" s="24"/>
      <c r="F87" s="28"/>
      <c r="G87" s="26"/>
      <c r="H87" s="29">
        <f t="shared" si="0"/>
        <v>0</v>
      </c>
    </row>
    <row r="88" spans="1:8" x14ac:dyDescent="0.25">
      <c r="A88" s="38" t="s">
        <v>231</v>
      </c>
      <c r="B88" s="41" t="s">
        <v>232</v>
      </c>
      <c r="C88" s="45" t="s">
        <v>233</v>
      </c>
      <c r="D88" s="34"/>
      <c r="E88" s="24"/>
      <c r="F88" s="28"/>
      <c r="G88" s="26"/>
      <c r="H88" s="29">
        <f t="shared" si="0"/>
        <v>0</v>
      </c>
    </row>
    <row r="89" spans="1:8" x14ac:dyDescent="0.25">
      <c r="A89" s="38" t="s">
        <v>234</v>
      </c>
      <c r="B89" s="41" t="s">
        <v>235</v>
      </c>
      <c r="C89" s="21" t="s">
        <v>236</v>
      </c>
      <c r="D89" s="34"/>
      <c r="E89" s="24"/>
      <c r="F89" s="28"/>
      <c r="G89" s="26"/>
      <c r="H89" s="29">
        <f t="shared" si="0"/>
        <v>0</v>
      </c>
    </row>
    <row r="90" spans="1:8" x14ac:dyDescent="0.25">
      <c r="A90" s="38" t="s">
        <v>237</v>
      </c>
      <c r="B90" s="41" t="s">
        <v>238</v>
      </c>
      <c r="C90" s="21" t="s">
        <v>239</v>
      </c>
      <c r="D90" s="34"/>
      <c r="E90" s="24"/>
      <c r="F90" s="28"/>
      <c r="G90" s="26"/>
      <c r="H90" s="29">
        <f t="shared" si="0"/>
        <v>0</v>
      </c>
    </row>
    <row r="91" spans="1:8" x14ac:dyDescent="0.25">
      <c r="A91" s="38" t="s">
        <v>240</v>
      </c>
      <c r="B91" s="41" t="s">
        <v>241</v>
      </c>
      <c r="C91" s="21" t="s">
        <v>242</v>
      </c>
      <c r="D91" s="34"/>
      <c r="E91" s="24"/>
      <c r="F91" s="28"/>
      <c r="G91" s="26"/>
      <c r="H91" s="29">
        <f t="shared" si="0"/>
        <v>0</v>
      </c>
    </row>
    <row r="92" spans="1:8" x14ac:dyDescent="0.25">
      <c r="A92" s="38" t="s">
        <v>243</v>
      </c>
      <c r="B92" s="41" t="s">
        <v>244</v>
      </c>
      <c r="C92" s="21" t="s">
        <v>245</v>
      </c>
      <c r="D92" s="34"/>
      <c r="E92" s="24"/>
      <c r="F92" s="28"/>
      <c r="G92" s="26"/>
      <c r="H92" s="29">
        <f t="shared" si="0"/>
        <v>0</v>
      </c>
    </row>
    <row r="93" spans="1:8" x14ac:dyDescent="0.25">
      <c r="A93" s="38" t="s">
        <v>246</v>
      </c>
      <c r="B93" s="41" t="s">
        <v>247</v>
      </c>
      <c r="C93" s="21" t="s">
        <v>248</v>
      </c>
      <c r="D93" s="34"/>
      <c r="E93" s="24"/>
      <c r="F93" s="28"/>
      <c r="G93" s="26"/>
      <c r="H93" s="29">
        <f t="shared" si="0"/>
        <v>0</v>
      </c>
    </row>
    <row r="94" spans="1:8" x14ac:dyDescent="0.25">
      <c r="A94" s="38" t="s">
        <v>249</v>
      </c>
      <c r="B94" s="41" t="s">
        <v>250</v>
      </c>
      <c r="C94" s="21" t="s">
        <v>251</v>
      </c>
      <c r="D94" s="34"/>
      <c r="E94" s="24"/>
      <c r="F94" s="28"/>
      <c r="G94" s="26"/>
      <c r="H94" s="29">
        <f t="shared" si="0"/>
        <v>0</v>
      </c>
    </row>
    <row r="95" spans="1:8" x14ac:dyDescent="0.25">
      <c r="A95" s="38" t="s">
        <v>252</v>
      </c>
      <c r="B95" s="41" t="s">
        <v>253</v>
      </c>
      <c r="C95" s="21" t="s">
        <v>254</v>
      </c>
      <c r="D95" s="34"/>
      <c r="E95" s="24"/>
      <c r="F95" s="28"/>
      <c r="G95" s="26"/>
      <c r="H95" s="29">
        <f t="shared" si="0"/>
        <v>0</v>
      </c>
    </row>
    <row r="96" spans="1:8" x14ac:dyDescent="0.25">
      <c r="A96" s="38" t="s">
        <v>255</v>
      </c>
      <c r="B96" s="41" t="s">
        <v>256</v>
      </c>
      <c r="C96" s="21" t="s">
        <v>257</v>
      </c>
      <c r="D96" s="34"/>
      <c r="E96" s="24"/>
      <c r="F96" s="28"/>
      <c r="G96" s="26"/>
      <c r="H96" s="29">
        <f t="shared" si="0"/>
        <v>0</v>
      </c>
    </row>
    <row r="97" spans="1:8" x14ac:dyDescent="0.25">
      <c r="A97" s="38" t="s">
        <v>258</v>
      </c>
      <c r="B97" s="41" t="s">
        <v>259</v>
      </c>
      <c r="C97" s="21" t="s">
        <v>260</v>
      </c>
      <c r="D97" s="34"/>
      <c r="E97" s="24"/>
      <c r="F97" s="28"/>
      <c r="G97" s="26"/>
      <c r="H97" s="29">
        <f t="shared" si="0"/>
        <v>0</v>
      </c>
    </row>
    <row r="98" spans="1:8" x14ac:dyDescent="0.25">
      <c r="A98" s="38" t="s">
        <v>261</v>
      </c>
      <c r="B98" s="41" t="s">
        <v>262</v>
      </c>
      <c r="C98" s="21" t="s">
        <v>263</v>
      </c>
      <c r="D98" s="34"/>
      <c r="E98" s="24"/>
      <c r="F98" s="28"/>
      <c r="G98" s="26"/>
      <c r="H98" s="29">
        <f t="shared" si="0"/>
        <v>0</v>
      </c>
    </row>
    <row r="99" spans="1:8" x14ac:dyDescent="0.25">
      <c r="A99" s="38" t="s">
        <v>264</v>
      </c>
      <c r="B99" s="41" t="s">
        <v>265</v>
      </c>
      <c r="C99" s="21" t="s">
        <v>266</v>
      </c>
      <c r="D99" s="34"/>
      <c r="E99" s="24"/>
      <c r="F99" s="28"/>
      <c r="G99" s="26"/>
      <c r="H99" s="29">
        <f t="shared" si="0"/>
        <v>0</v>
      </c>
    </row>
    <row r="100" spans="1:8" x14ac:dyDescent="0.25">
      <c r="A100" s="38" t="s">
        <v>267</v>
      </c>
      <c r="B100" s="41" t="s">
        <v>268</v>
      </c>
      <c r="C100" s="21" t="s">
        <v>269</v>
      </c>
      <c r="D100" s="34"/>
      <c r="E100" s="24"/>
      <c r="F100" s="28"/>
      <c r="G100" s="26"/>
      <c r="H100" s="29">
        <f t="shared" si="0"/>
        <v>0</v>
      </c>
    </row>
    <row r="101" spans="1:8" x14ac:dyDescent="0.25">
      <c r="A101" s="38" t="s">
        <v>270</v>
      </c>
      <c r="B101" s="41" t="s">
        <v>271</v>
      </c>
      <c r="C101" s="21" t="s">
        <v>272</v>
      </c>
      <c r="D101" s="34"/>
      <c r="E101" s="24"/>
      <c r="F101" s="28"/>
      <c r="G101" s="26"/>
      <c r="H101" s="29">
        <f t="shared" si="0"/>
        <v>0</v>
      </c>
    </row>
    <row r="102" spans="1:8" x14ac:dyDescent="0.25">
      <c r="A102" s="38" t="s">
        <v>273</v>
      </c>
      <c r="B102" s="41" t="s">
        <v>274</v>
      </c>
      <c r="C102" s="21" t="s">
        <v>275</v>
      </c>
      <c r="D102" s="34"/>
      <c r="E102" s="24"/>
      <c r="F102" s="28"/>
      <c r="G102" s="26"/>
      <c r="H102" s="29">
        <f t="shared" si="0"/>
        <v>0</v>
      </c>
    </row>
    <row r="103" spans="1:8" x14ac:dyDescent="0.25">
      <c r="A103" s="38" t="s">
        <v>276</v>
      </c>
      <c r="B103" s="41" t="s">
        <v>277</v>
      </c>
      <c r="C103" s="21" t="s">
        <v>278</v>
      </c>
      <c r="D103" s="34"/>
      <c r="E103" s="24"/>
      <c r="F103" s="28"/>
      <c r="G103" s="26"/>
      <c r="H103" s="29">
        <f t="shared" si="0"/>
        <v>0</v>
      </c>
    </row>
    <row r="104" spans="1:8" x14ac:dyDescent="0.25">
      <c r="A104" s="38" t="s">
        <v>279</v>
      </c>
      <c r="B104" s="41" t="s">
        <v>280</v>
      </c>
      <c r="C104" s="21" t="s">
        <v>281</v>
      </c>
      <c r="D104" s="34"/>
      <c r="E104" s="24"/>
      <c r="F104" s="28"/>
      <c r="G104" s="26"/>
      <c r="H104" s="29">
        <f t="shared" si="0"/>
        <v>0</v>
      </c>
    </row>
    <row r="105" spans="1:8" x14ac:dyDescent="0.25">
      <c r="A105" s="38" t="s">
        <v>282</v>
      </c>
      <c r="B105" s="41" t="s">
        <v>283</v>
      </c>
      <c r="C105" s="21" t="s">
        <v>284</v>
      </c>
      <c r="D105" s="34"/>
      <c r="E105" s="24"/>
      <c r="F105" s="28"/>
      <c r="G105" s="26"/>
      <c r="H105" s="29">
        <f t="shared" si="0"/>
        <v>0</v>
      </c>
    </row>
    <row r="106" spans="1:8" x14ac:dyDescent="0.25">
      <c r="A106" s="38" t="s">
        <v>285</v>
      </c>
      <c r="B106" s="41" t="s">
        <v>286</v>
      </c>
      <c r="C106" s="21" t="s">
        <v>287</v>
      </c>
      <c r="D106" s="34"/>
      <c r="E106" s="24"/>
      <c r="F106" s="28"/>
      <c r="G106" s="26"/>
      <c r="H106" s="29">
        <f t="shared" si="0"/>
        <v>0</v>
      </c>
    </row>
    <row r="107" spans="1:8" x14ac:dyDescent="0.25">
      <c r="A107" s="38" t="s">
        <v>288</v>
      </c>
      <c r="B107" s="41" t="s">
        <v>289</v>
      </c>
      <c r="C107" s="21" t="s">
        <v>290</v>
      </c>
      <c r="D107" s="34"/>
      <c r="E107" s="24"/>
      <c r="F107" s="28"/>
      <c r="G107" s="26"/>
      <c r="H107" s="29">
        <f t="shared" si="0"/>
        <v>0</v>
      </c>
    </row>
    <row r="108" spans="1:8" x14ac:dyDescent="0.25">
      <c r="A108" s="38" t="s">
        <v>291</v>
      </c>
      <c r="B108" s="41" t="s">
        <v>292</v>
      </c>
      <c r="C108" s="21" t="s">
        <v>293</v>
      </c>
      <c r="D108" s="34"/>
      <c r="E108" s="24"/>
      <c r="F108" s="28"/>
      <c r="G108" s="26"/>
      <c r="H108" s="29">
        <f t="shared" si="0"/>
        <v>0</v>
      </c>
    </row>
    <row r="109" spans="1:8" x14ac:dyDescent="0.25">
      <c r="A109" s="38"/>
      <c r="B109" s="41"/>
      <c r="C109" s="19"/>
      <c r="D109" s="34"/>
      <c r="E109" s="24"/>
      <c r="F109" s="28"/>
      <c r="G109" s="26"/>
      <c r="H109" s="29"/>
    </row>
    <row r="110" spans="1:8" x14ac:dyDescent="0.25">
      <c r="A110" s="38"/>
      <c r="B110" s="41"/>
      <c r="C110" s="21"/>
      <c r="D110" s="34"/>
      <c r="E110" s="24"/>
      <c r="F110" s="28"/>
      <c r="G110" s="26"/>
      <c r="H110" s="29"/>
    </row>
    <row r="111" spans="1:8" x14ac:dyDescent="0.25">
      <c r="A111" s="38"/>
      <c r="B111" s="41"/>
      <c r="C111" s="21"/>
      <c r="D111" s="34"/>
      <c r="E111" s="24"/>
      <c r="F111" s="28"/>
      <c r="G111" s="26"/>
      <c r="H111" s="29"/>
    </row>
    <row r="112" spans="1:8" x14ac:dyDescent="0.25">
      <c r="A112" s="38"/>
      <c r="B112" s="41"/>
      <c r="C112" s="21"/>
      <c r="D112" s="34"/>
      <c r="E112" s="24"/>
      <c r="F112" s="28"/>
      <c r="G112" s="26"/>
      <c r="H112" s="29"/>
    </row>
    <row r="113" spans="1:8" x14ac:dyDescent="0.25">
      <c r="A113" s="38"/>
      <c r="B113" s="41"/>
      <c r="C113" s="21"/>
      <c r="D113" s="34"/>
      <c r="E113" s="24"/>
      <c r="F113" s="28"/>
      <c r="G113" s="26"/>
      <c r="H113" s="29"/>
    </row>
    <row r="114" spans="1:8" x14ac:dyDescent="0.25">
      <c r="A114" s="38"/>
      <c r="B114" s="41"/>
      <c r="C114" s="21"/>
      <c r="D114" s="34"/>
      <c r="E114" s="24"/>
      <c r="F114" s="28"/>
      <c r="G114" s="26"/>
      <c r="H114" s="29"/>
    </row>
    <row r="115" spans="1:8" x14ac:dyDescent="0.25">
      <c r="A115" s="38"/>
      <c r="B115" s="41"/>
      <c r="C115" s="21"/>
      <c r="D115" s="34"/>
      <c r="E115" s="24"/>
      <c r="F115" s="28"/>
      <c r="G115" s="26"/>
      <c r="H115" s="29"/>
    </row>
    <row r="116" spans="1:8" x14ac:dyDescent="0.25">
      <c r="A116" s="38"/>
      <c r="B116" s="41"/>
      <c r="C116" s="21"/>
      <c r="D116" s="34"/>
      <c r="E116" s="24"/>
      <c r="F116" s="28"/>
      <c r="G116" s="26"/>
      <c r="H116" s="29"/>
    </row>
    <row r="117" spans="1:8" x14ac:dyDescent="0.25">
      <c r="A117" s="38"/>
      <c r="B117" s="41"/>
      <c r="C117" s="21"/>
      <c r="D117" s="34"/>
      <c r="E117" s="24"/>
      <c r="F117" s="28"/>
      <c r="G117" s="26"/>
      <c r="H117" s="29"/>
    </row>
    <row r="118" spans="1:8" x14ac:dyDescent="0.25">
      <c r="A118" s="38"/>
      <c r="B118" s="41"/>
      <c r="C118" s="21"/>
      <c r="D118" s="34"/>
      <c r="E118" s="24"/>
      <c r="F118" s="28"/>
      <c r="G118" s="26"/>
      <c r="H118" s="29"/>
    </row>
    <row r="119" spans="1:8" x14ac:dyDescent="0.25">
      <c r="A119" s="38"/>
      <c r="B119" s="41"/>
      <c r="C119" s="21"/>
      <c r="D119" s="34"/>
      <c r="E119" s="24"/>
      <c r="F119" s="28"/>
      <c r="G119" s="26"/>
      <c r="H119" s="29"/>
    </row>
    <row r="120" spans="1:8" x14ac:dyDescent="0.25">
      <c r="A120" s="38"/>
      <c r="B120" s="41"/>
      <c r="C120" s="21"/>
      <c r="D120" s="34"/>
      <c r="E120" s="24"/>
      <c r="F120" s="28"/>
      <c r="G120" s="26"/>
      <c r="H120" s="29"/>
    </row>
    <row r="121" spans="1:8" s="9" customFormat="1" x14ac:dyDescent="0.25">
      <c r="A121" s="38"/>
      <c r="B121" s="41"/>
      <c r="C121" s="21"/>
      <c r="D121" s="34"/>
      <c r="E121" s="26"/>
      <c r="F121" s="28"/>
      <c r="G121" s="26"/>
      <c r="H121" s="29"/>
    </row>
    <row r="122" spans="1:8" s="9" customFormat="1" x14ac:dyDescent="0.25">
      <c r="A122" s="38"/>
      <c r="B122" s="41"/>
      <c r="C122" s="21"/>
      <c r="D122" s="34"/>
      <c r="E122" s="26"/>
      <c r="F122" s="28"/>
      <c r="G122" s="26"/>
      <c r="H122" s="29"/>
    </row>
    <row r="123" spans="1:8" s="9" customFormat="1" x14ac:dyDescent="0.25">
      <c r="A123" s="38"/>
      <c r="B123" s="41"/>
      <c r="C123" s="21"/>
      <c r="D123" s="34"/>
      <c r="E123" s="26"/>
      <c r="F123" s="28"/>
      <c r="G123" s="26"/>
      <c r="H123" s="29"/>
    </row>
    <row r="124" spans="1:8" s="9" customFormat="1" x14ac:dyDescent="0.25">
      <c r="A124" s="38"/>
      <c r="B124" s="41"/>
      <c r="C124" s="21"/>
      <c r="D124" s="34"/>
      <c r="E124" s="26"/>
      <c r="F124" s="28"/>
      <c r="G124" s="26"/>
      <c r="H124" s="29"/>
    </row>
    <row r="125" spans="1:8" s="9" customFormat="1" x14ac:dyDescent="0.25">
      <c r="A125" s="38"/>
      <c r="B125" s="41"/>
      <c r="C125" s="21"/>
      <c r="D125" s="34"/>
      <c r="E125" s="26"/>
      <c r="F125" s="28"/>
      <c r="G125" s="26"/>
      <c r="H125" s="29"/>
    </row>
    <row r="126" spans="1:8" s="9" customFormat="1" x14ac:dyDescent="0.25">
      <c r="A126" s="38"/>
      <c r="B126" s="41"/>
      <c r="C126" s="21"/>
      <c r="D126" s="34"/>
      <c r="E126" s="26"/>
      <c r="F126" s="28"/>
      <c r="G126" s="26"/>
      <c r="H126" s="29"/>
    </row>
    <row r="127" spans="1:8" s="9" customFormat="1" x14ac:dyDescent="0.25">
      <c r="A127" s="38"/>
      <c r="B127" s="41"/>
      <c r="C127" s="21"/>
      <c r="D127" s="34"/>
      <c r="E127" s="26"/>
      <c r="F127" s="28"/>
      <c r="G127" s="26"/>
      <c r="H127" s="29"/>
    </row>
    <row r="128" spans="1:8" s="9" customFormat="1" x14ac:dyDescent="0.25">
      <c r="A128" s="38"/>
      <c r="B128" s="41"/>
      <c r="C128" s="19"/>
      <c r="D128" s="34"/>
      <c r="E128" s="26"/>
      <c r="F128" s="28"/>
      <c r="G128" s="26"/>
      <c r="H128" s="29"/>
    </row>
    <row r="129" spans="1:8" s="7" customFormat="1" x14ac:dyDescent="0.25">
      <c r="A129" s="38"/>
      <c r="B129" s="41"/>
      <c r="C129" s="20"/>
      <c r="D129" s="34"/>
      <c r="E129" s="24"/>
      <c r="F129" s="28"/>
      <c r="G129" s="24"/>
      <c r="H129" s="29"/>
    </row>
    <row r="130" spans="1:8" s="7" customFormat="1" x14ac:dyDescent="0.25">
      <c r="A130" s="38"/>
      <c r="B130" s="41"/>
      <c r="C130" s="19"/>
      <c r="D130" s="34"/>
      <c r="E130" s="24"/>
      <c r="F130" s="28"/>
      <c r="G130" s="24"/>
      <c r="H130" s="29"/>
    </row>
    <row r="131" spans="1:8" s="7" customFormat="1" x14ac:dyDescent="0.25">
      <c r="A131" s="38"/>
      <c r="B131" s="41"/>
      <c r="C131" s="19"/>
      <c r="D131" s="34"/>
      <c r="E131" s="24"/>
      <c r="F131" s="28"/>
      <c r="G131" s="24"/>
      <c r="H131" s="29"/>
    </row>
    <row r="132" spans="1:8" s="7" customFormat="1" x14ac:dyDescent="0.25">
      <c r="A132" s="38"/>
      <c r="B132" s="41"/>
      <c r="C132" s="21"/>
      <c r="D132" s="34"/>
      <c r="E132" s="24"/>
      <c r="F132" s="28"/>
      <c r="G132" s="24"/>
      <c r="H132" s="29"/>
    </row>
    <row r="133" spans="1:8" s="7" customFormat="1" x14ac:dyDescent="0.25">
      <c r="A133" s="38"/>
      <c r="B133" s="41"/>
      <c r="C133" s="21"/>
      <c r="D133" s="34"/>
      <c r="E133" s="24"/>
      <c r="F133" s="28"/>
      <c r="G133" s="24"/>
      <c r="H133" s="29"/>
    </row>
    <row r="134" spans="1:8" s="7" customFormat="1" x14ac:dyDescent="0.25">
      <c r="A134" s="38"/>
      <c r="B134" s="41"/>
      <c r="C134" s="19"/>
      <c r="D134" s="34"/>
      <c r="E134" s="24"/>
      <c r="F134" s="28"/>
      <c r="G134" s="24"/>
      <c r="H134" s="29"/>
    </row>
    <row r="135" spans="1:8" s="7" customFormat="1" x14ac:dyDescent="0.25">
      <c r="A135" s="38"/>
      <c r="B135" s="41"/>
      <c r="C135" s="21"/>
      <c r="D135" s="34"/>
      <c r="E135" s="24"/>
      <c r="F135" s="28"/>
      <c r="G135" s="24"/>
      <c r="H135" s="29"/>
    </row>
    <row r="136" spans="1:8" s="7" customFormat="1" x14ac:dyDescent="0.25">
      <c r="A136" s="38"/>
      <c r="B136" s="41"/>
      <c r="C136" s="22"/>
      <c r="D136" s="34"/>
      <c r="E136" s="24"/>
      <c r="F136" s="28"/>
      <c r="G136" s="24"/>
      <c r="H136" s="29"/>
    </row>
    <row r="137" spans="1:8" s="7" customFormat="1" x14ac:dyDescent="0.25">
      <c r="A137" s="38"/>
      <c r="B137" s="41"/>
      <c r="C137" s="21"/>
      <c r="D137" s="34"/>
      <c r="E137" s="24"/>
      <c r="F137" s="28"/>
      <c r="G137" s="24"/>
      <c r="H137" s="29"/>
    </row>
    <row r="138" spans="1:8" s="7" customFormat="1" x14ac:dyDescent="0.25">
      <c r="A138" s="38"/>
      <c r="B138" s="41"/>
      <c r="C138" s="21"/>
      <c r="D138" s="34"/>
      <c r="E138" s="24"/>
      <c r="F138" s="28"/>
      <c r="G138" s="24"/>
      <c r="H138" s="29"/>
    </row>
    <row r="139" spans="1:8" s="7" customFormat="1" x14ac:dyDescent="0.25">
      <c r="A139" s="38"/>
      <c r="B139" s="41"/>
      <c r="C139" s="21"/>
      <c r="D139" s="34"/>
      <c r="E139" s="24"/>
      <c r="F139" s="28"/>
      <c r="G139" s="24"/>
      <c r="H139" s="29"/>
    </row>
    <row r="140" spans="1:8" s="7" customFormat="1" x14ac:dyDescent="0.25">
      <c r="A140" s="38"/>
      <c r="B140" s="41"/>
      <c r="C140" s="21"/>
      <c r="D140" s="34"/>
      <c r="E140" s="24"/>
      <c r="F140" s="28"/>
      <c r="G140" s="24"/>
      <c r="H140" s="29"/>
    </row>
    <row r="141" spans="1:8" s="7" customFormat="1" x14ac:dyDescent="0.25">
      <c r="A141" s="38"/>
      <c r="B141" s="41"/>
      <c r="C141" s="21"/>
      <c r="D141" s="34"/>
      <c r="E141" s="24"/>
      <c r="F141" s="28"/>
      <c r="G141" s="24"/>
      <c r="H141" s="29"/>
    </row>
    <row r="142" spans="1:8" s="7" customFormat="1" x14ac:dyDescent="0.25">
      <c r="A142" s="38"/>
      <c r="B142" s="41"/>
      <c r="C142" s="21"/>
      <c r="D142" s="34"/>
      <c r="E142" s="24"/>
      <c r="F142" s="28"/>
      <c r="G142" s="24"/>
      <c r="H142" s="29"/>
    </row>
    <row r="143" spans="1:8" s="7" customFormat="1" x14ac:dyDescent="0.25">
      <c r="A143" s="38"/>
      <c r="B143" s="41"/>
      <c r="C143" s="21"/>
      <c r="D143" s="34"/>
      <c r="E143" s="24"/>
      <c r="F143" s="28"/>
      <c r="G143" s="24"/>
      <c r="H143" s="29"/>
    </row>
    <row r="144" spans="1:8" s="7" customFormat="1" x14ac:dyDescent="0.25">
      <c r="A144" s="38"/>
      <c r="B144" s="41"/>
      <c r="C144" s="21"/>
      <c r="D144" s="34"/>
      <c r="E144" s="24"/>
      <c r="F144" s="28"/>
      <c r="G144" s="24"/>
      <c r="H144" s="29"/>
    </row>
    <row r="145" spans="1:8" s="7" customFormat="1" x14ac:dyDescent="0.25">
      <c r="A145" s="38"/>
      <c r="B145" s="41"/>
      <c r="C145" s="21"/>
      <c r="D145" s="34"/>
      <c r="E145" s="24"/>
      <c r="F145" s="28"/>
      <c r="G145" s="24"/>
      <c r="H145" s="29"/>
    </row>
    <row r="146" spans="1:8" s="7" customFormat="1" x14ac:dyDescent="0.25">
      <c r="A146" s="38"/>
      <c r="B146" s="41"/>
      <c r="C146" s="21"/>
      <c r="D146" s="34"/>
      <c r="E146" s="24"/>
      <c r="F146" s="28"/>
      <c r="G146" s="24"/>
      <c r="H146" s="29"/>
    </row>
    <row r="147" spans="1:8" x14ac:dyDescent="0.25">
      <c r="A147" s="38"/>
      <c r="B147" s="41"/>
      <c r="C147" s="21"/>
      <c r="D147" s="34"/>
      <c r="E147" s="24"/>
      <c r="F147" s="28"/>
      <c r="G147" s="24"/>
      <c r="H147" s="29"/>
    </row>
    <row r="148" spans="1:8" x14ac:dyDescent="0.25">
      <c r="A148" s="38"/>
      <c r="B148" s="41"/>
      <c r="C148" s="21"/>
      <c r="D148" s="34"/>
      <c r="E148" s="24"/>
      <c r="F148" s="28"/>
      <c r="G148" s="24"/>
      <c r="H148" s="29"/>
    </row>
    <row r="149" spans="1:8" x14ac:dyDescent="0.25">
      <c r="A149" s="38"/>
      <c r="B149" s="41"/>
      <c r="C149" s="21"/>
      <c r="D149" s="34"/>
      <c r="E149" s="24"/>
      <c r="F149" s="28"/>
      <c r="G149" s="24"/>
      <c r="H149" s="29"/>
    </row>
    <row r="150" spans="1:8" x14ac:dyDescent="0.25">
      <c r="A150" s="38"/>
      <c r="B150" s="41"/>
      <c r="C150" s="21"/>
      <c r="D150" s="34"/>
      <c r="E150" s="24"/>
      <c r="F150" s="28"/>
      <c r="G150" s="24"/>
      <c r="H150" s="29"/>
    </row>
    <row r="151" spans="1:8" x14ac:dyDescent="0.25">
      <c r="A151" s="38"/>
      <c r="B151" s="41"/>
      <c r="C151" s="21"/>
      <c r="D151" s="34"/>
      <c r="E151" s="24"/>
      <c r="F151" s="28"/>
      <c r="G151" s="24"/>
      <c r="H151" s="29"/>
    </row>
    <row r="152" spans="1:8" x14ac:dyDescent="0.25">
      <c r="A152" s="38"/>
      <c r="B152" s="41"/>
      <c r="C152" s="21"/>
      <c r="D152" s="34"/>
      <c r="E152" s="24"/>
      <c r="F152" s="28"/>
      <c r="G152" s="24"/>
      <c r="H152" s="29"/>
    </row>
    <row r="153" spans="1:8" x14ac:dyDescent="0.25">
      <c r="A153" s="38"/>
      <c r="B153" s="41"/>
      <c r="C153" s="21"/>
      <c r="D153" s="34"/>
      <c r="E153" s="24"/>
      <c r="F153" s="28"/>
      <c r="G153" s="24"/>
      <c r="H153" s="29"/>
    </row>
    <row r="154" spans="1:8" x14ac:dyDescent="0.25">
      <c r="A154" s="38"/>
      <c r="B154" s="41"/>
      <c r="C154" s="21"/>
      <c r="D154" s="34"/>
      <c r="E154" s="24"/>
      <c r="F154" s="28"/>
      <c r="G154" s="24"/>
      <c r="H154" s="29"/>
    </row>
    <row r="155" spans="1:8" x14ac:dyDescent="0.25">
      <c r="A155" s="38"/>
      <c r="B155" s="41"/>
      <c r="C155" s="21"/>
      <c r="D155" s="34"/>
      <c r="E155" s="24"/>
      <c r="F155" s="28"/>
      <c r="G155" s="24"/>
      <c r="H155" s="29"/>
    </row>
    <row r="156" spans="1:8" x14ac:dyDescent="0.25">
      <c r="A156" s="38"/>
      <c r="B156" s="41"/>
      <c r="C156" s="21"/>
      <c r="D156" s="34"/>
      <c r="E156" s="24"/>
      <c r="F156" s="28"/>
      <c r="G156" s="24"/>
      <c r="H156" s="29"/>
    </row>
    <row r="157" spans="1:8" x14ac:dyDescent="0.25">
      <c r="A157" s="38"/>
      <c r="B157" s="41"/>
      <c r="C157" s="21"/>
      <c r="D157" s="34"/>
      <c r="E157" s="24"/>
      <c r="F157" s="28"/>
      <c r="G157" s="24"/>
      <c r="H157" s="29"/>
    </row>
    <row r="158" spans="1:8" x14ac:dyDescent="0.25">
      <c r="A158" s="38"/>
      <c r="B158" s="41"/>
      <c r="C158" s="21"/>
      <c r="D158" s="34"/>
      <c r="E158" s="24"/>
      <c r="F158" s="28"/>
      <c r="G158" s="24"/>
      <c r="H158" s="29"/>
    </row>
    <row r="159" spans="1:8" x14ac:dyDescent="0.25">
      <c r="A159" s="38"/>
      <c r="B159" s="41"/>
      <c r="C159" s="21"/>
      <c r="D159" s="34"/>
      <c r="E159" s="24"/>
      <c r="F159" s="28"/>
      <c r="G159" s="24"/>
      <c r="H159" s="29"/>
    </row>
    <row r="160" spans="1:8" x14ac:dyDescent="0.25">
      <c r="A160" s="38"/>
      <c r="B160" s="41"/>
      <c r="C160" s="21"/>
      <c r="D160" s="34"/>
      <c r="E160" s="24"/>
      <c r="F160" s="28"/>
      <c r="G160" s="24"/>
      <c r="H160" s="29"/>
    </row>
    <row r="161" spans="1:8" x14ac:dyDescent="0.25">
      <c r="A161" s="38"/>
      <c r="B161" s="41"/>
      <c r="C161" s="21"/>
      <c r="D161" s="34"/>
      <c r="E161" s="24"/>
      <c r="F161" s="28"/>
      <c r="G161" s="24"/>
      <c r="H161" s="29"/>
    </row>
    <row r="162" spans="1:8" x14ac:dyDescent="0.25">
      <c r="A162" s="38"/>
      <c r="B162" s="41"/>
      <c r="C162" s="21"/>
      <c r="D162" s="34"/>
      <c r="E162" s="24"/>
      <c r="F162" s="28"/>
      <c r="G162" s="24"/>
      <c r="H162" s="29"/>
    </row>
    <row r="163" spans="1:8" x14ac:dyDescent="0.25">
      <c r="A163" s="38"/>
      <c r="B163" s="41"/>
      <c r="C163" s="21"/>
      <c r="D163" s="34"/>
      <c r="E163" s="24"/>
      <c r="F163" s="28"/>
      <c r="G163" s="24"/>
      <c r="H163" s="29"/>
    </row>
    <row r="164" spans="1:8" x14ac:dyDescent="0.25">
      <c r="A164" s="38"/>
      <c r="B164" s="41"/>
      <c r="C164" s="21"/>
      <c r="D164" s="34"/>
      <c r="E164" s="24"/>
      <c r="F164" s="28"/>
      <c r="G164" s="26"/>
      <c r="H164" s="29"/>
    </row>
    <row r="165" spans="1:8" x14ac:dyDescent="0.25">
      <c r="A165" s="38"/>
      <c r="B165" s="41"/>
      <c r="C165" s="21"/>
      <c r="D165" s="34"/>
      <c r="E165" s="24"/>
      <c r="F165" s="28"/>
      <c r="G165" s="26"/>
      <c r="H165" s="29"/>
    </row>
    <row r="166" spans="1:8" x14ac:dyDescent="0.25">
      <c r="A166" s="38"/>
      <c r="B166" s="41"/>
      <c r="C166" s="21"/>
      <c r="D166" s="34"/>
      <c r="E166" s="24"/>
      <c r="F166" s="28"/>
      <c r="G166" s="26"/>
      <c r="H166" s="29"/>
    </row>
    <row r="167" spans="1:8" x14ac:dyDescent="0.25">
      <c r="A167" s="38"/>
      <c r="B167" s="41"/>
      <c r="C167" s="21"/>
      <c r="D167" s="34"/>
      <c r="E167" s="24"/>
      <c r="F167" s="28"/>
      <c r="G167" s="26"/>
      <c r="H167" s="29"/>
    </row>
    <row r="168" spans="1:8" x14ac:dyDescent="0.25">
      <c r="A168" s="38"/>
      <c r="B168" s="41"/>
      <c r="C168" s="21"/>
      <c r="D168" s="34"/>
      <c r="E168" s="24"/>
      <c r="F168" s="28"/>
      <c r="G168" s="26"/>
      <c r="H168" s="29"/>
    </row>
    <row r="169" spans="1:8" x14ac:dyDescent="0.25">
      <c r="A169" s="38"/>
      <c r="B169" s="41"/>
      <c r="C169" s="21"/>
      <c r="D169" s="34"/>
      <c r="E169" s="24"/>
      <c r="F169" s="28"/>
      <c r="G169" s="26"/>
      <c r="H169" s="29"/>
    </row>
    <row r="170" spans="1:8" x14ac:dyDescent="0.25">
      <c r="A170" s="38"/>
      <c r="B170" s="41"/>
      <c r="C170" s="21"/>
      <c r="D170" s="34"/>
      <c r="E170" s="24"/>
      <c r="F170" s="28"/>
      <c r="G170" s="26"/>
      <c r="H170" s="29"/>
    </row>
    <row r="171" spans="1:8" x14ac:dyDescent="0.25">
      <c r="A171" s="38"/>
      <c r="B171" s="41"/>
      <c r="C171" s="21"/>
      <c r="D171" s="34"/>
      <c r="E171" s="24"/>
      <c r="F171" s="28"/>
      <c r="G171" s="26"/>
      <c r="H171" s="29"/>
    </row>
    <row r="172" spans="1:8" x14ac:dyDescent="0.25">
      <c r="A172" s="38"/>
      <c r="B172" s="41"/>
      <c r="C172" s="21"/>
      <c r="D172" s="34"/>
      <c r="E172" s="24"/>
      <c r="F172" s="28"/>
      <c r="G172" s="26"/>
      <c r="H172" s="29"/>
    </row>
    <row r="173" spans="1:8" x14ac:dyDescent="0.25">
      <c r="A173" s="38"/>
      <c r="B173" s="41"/>
      <c r="C173" s="21"/>
      <c r="D173" s="34"/>
      <c r="E173" s="24"/>
      <c r="F173" s="28"/>
      <c r="G173" s="26"/>
      <c r="H173" s="29"/>
    </row>
    <row r="174" spans="1:8" x14ac:dyDescent="0.25">
      <c r="A174" s="38"/>
      <c r="B174" s="41"/>
      <c r="C174" s="21"/>
      <c r="D174" s="34"/>
      <c r="E174" s="24"/>
      <c r="F174" s="28"/>
      <c r="G174" s="26"/>
      <c r="H174" s="29"/>
    </row>
    <row r="175" spans="1:8" x14ac:dyDescent="0.25">
      <c r="A175" s="38"/>
      <c r="B175" s="41"/>
      <c r="C175" s="21"/>
      <c r="D175" s="34"/>
      <c r="E175" s="24"/>
      <c r="F175" s="28"/>
      <c r="G175" s="26"/>
      <c r="H175" s="29"/>
    </row>
    <row r="176" spans="1:8" x14ac:dyDescent="0.25">
      <c r="A176" s="38"/>
      <c r="B176" s="41"/>
      <c r="C176" s="21"/>
      <c r="D176" s="34"/>
      <c r="E176" s="24"/>
      <c r="F176" s="28"/>
      <c r="G176" s="26"/>
      <c r="H176" s="29"/>
    </row>
    <row r="177" spans="1:8" x14ac:dyDescent="0.25">
      <c r="A177" s="38"/>
      <c r="B177" s="41"/>
      <c r="C177" s="21"/>
      <c r="D177" s="34"/>
      <c r="E177" s="24"/>
      <c r="F177" s="28"/>
      <c r="G177" s="26"/>
      <c r="H177" s="29"/>
    </row>
    <row r="178" spans="1:8" x14ac:dyDescent="0.25">
      <c r="A178" s="38"/>
      <c r="B178" s="41"/>
      <c r="C178" s="21"/>
      <c r="D178" s="34"/>
      <c r="E178" s="24"/>
      <c r="F178" s="28"/>
      <c r="G178" s="24"/>
      <c r="H178" s="29"/>
    </row>
    <row r="179" spans="1:8" s="7" customFormat="1" x14ac:dyDescent="0.25">
      <c r="A179" s="38"/>
      <c r="B179" s="41"/>
      <c r="C179" s="21"/>
      <c r="D179" s="34"/>
      <c r="E179" s="24"/>
      <c r="F179" s="28"/>
      <c r="G179" s="24"/>
      <c r="H179" s="29"/>
    </row>
    <row r="180" spans="1:8" s="7" customFormat="1" x14ac:dyDescent="0.25">
      <c r="A180" s="38"/>
      <c r="B180" s="41"/>
      <c r="C180" s="21"/>
      <c r="D180" s="34"/>
      <c r="E180" s="24"/>
      <c r="F180" s="28"/>
      <c r="G180" s="24"/>
      <c r="H180" s="29"/>
    </row>
    <row r="181" spans="1:8" s="7" customFormat="1" x14ac:dyDescent="0.25">
      <c r="A181" s="38"/>
      <c r="B181" s="41"/>
      <c r="C181" s="21"/>
      <c r="D181" s="34"/>
      <c r="E181" s="24"/>
      <c r="F181" s="28"/>
      <c r="G181" s="24"/>
      <c r="H181" s="29"/>
    </row>
    <row r="182" spans="1:8" s="7" customFormat="1" x14ac:dyDescent="0.25">
      <c r="A182" s="38"/>
      <c r="B182" s="41"/>
      <c r="C182" s="21"/>
      <c r="D182" s="34"/>
      <c r="E182" s="26"/>
      <c r="F182" s="28"/>
      <c r="G182" s="26"/>
      <c r="H182" s="29"/>
    </row>
    <row r="183" spans="1:8" s="7" customFormat="1" x14ac:dyDescent="0.25">
      <c r="A183" s="38"/>
      <c r="B183" s="41"/>
      <c r="C183" s="21"/>
      <c r="D183" s="34"/>
      <c r="E183" s="26"/>
      <c r="F183" s="28"/>
      <c r="G183" s="26"/>
      <c r="H183" s="29"/>
    </row>
    <row r="184" spans="1:8" s="7" customFormat="1" x14ac:dyDescent="0.25">
      <c r="A184" s="38"/>
      <c r="B184" s="41"/>
      <c r="C184" s="21"/>
      <c r="D184" s="34"/>
      <c r="E184" s="24"/>
      <c r="F184" s="28"/>
      <c r="G184" s="24"/>
      <c r="H184" s="29"/>
    </row>
    <row r="185" spans="1:8" x14ac:dyDescent="0.25">
      <c r="A185" s="39"/>
      <c r="B185" s="42"/>
      <c r="C185" s="23"/>
      <c r="D185" s="35"/>
      <c r="E185" s="27"/>
      <c r="F185" s="32"/>
      <c r="G185" s="27"/>
      <c r="H185" s="30"/>
    </row>
    <row r="186" spans="1:8" ht="12" customHeight="1" x14ac:dyDescent="0.2">
      <c r="A186" s="10"/>
      <c r="B186" s="13"/>
      <c r="C186" s="11"/>
      <c r="D186" s="11"/>
      <c r="H186" s="7"/>
    </row>
    <row r="187" spans="1:8" ht="12" customHeight="1" x14ac:dyDescent="0.2">
      <c r="A187" s="10"/>
      <c r="B187" s="13"/>
      <c r="C187" s="2" t="s">
        <v>15</v>
      </c>
      <c r="H187" s="7"/>
    </row>
    <row r="188" spans="1:8" x14ac:dyDescent="0.2">
      <c r="A188" s="12"/>
      <c r="B188" s="12"/>
      <c r="C188" s="12"/>
      <c r="D188" s="12"/>
      <c r="E188" s="54" t="s">
        <v>16</v>
      </c>
      <c r="F188" s="54"/>
      <c r="G188" s="54"/>
      <c r="H188" s="54"/>
    </row>
    <row r="189" spans="1:8" ht="19.5" customHeight="1" x14ac:dyDescent="0.2">
      <c r="A189" s="3"/>
      <c r="B189" s="3"/>
      <c r="C189" s="3" t="s">
        <v>17</v>
      </c>
      <c r="D189" s="3"/>
      <c r="E189" s="57" t="s">
        <v>18</v>
      </c>
      <c r="F189" s="57"/>
      <c r="G189" s="57"/>
      <c r="H189" s="57"/>
    </row>
    <row r="190" spans="1:8" x14ac:dyDescent="0.2">
      <c r="A190" s="11"/>
      <c r="B190" s="11"/>
      <c r="C190" s="11" t="s">
        <v>19</v>
      </c>
      <c r="D190" s="11"/>
      <c r="E190" s="54" t="s">
        <v>20</v>
      </c>
      <c r="F190" s="54"/>
      <c r="G190" s="54"/>
      <c r="H190" s="54"/>
    </row>
    <row r="191" spans="1:8" ht="18" customHeight="1" x14ac:dyDescent="0.2">
      <c r="A191" s="1"/>
      <c r="B191" s="1"/>
      <c r="C191" s="1"/>
      <c r="D191" s="1"/>
      <c r="E191" s="1"/>
      <c r="F191" s="1"/>
      <c r="G191" s="1"/>
    </row>
    <row r="194" spans="3:3" x14ac:dyDescent="0.2">
      <c r="C194" s="3" t="s">
        <v>21</v>
      </c>
    </row>
    <row r="195" spans="3:3" ht="30.6" customHeight="1" x14ac:dyDescent="0.2">
      <c r="C195" s="2" t="s">
        <v>22</v>
      </c>
    </row>
    <row r="196" spans="3:3" x14ac:dyDescent="0.2">
      <c r="C196" s="2" t="s">
        <v>23</v>
      </c>
    </row>
    <row r="197" spans="3:3" x14ac:dyDescent="0.2">
      <c r="C197" s="2" t="s">
        <v>24</v>
      </c>
    </row>
    <row r="198" spans="3:3" x14ac:dyDescent="0.2">
      <c r="C198" s="2" t="s">
        <v>25</v>
      </c>
    </row>
    <row r="199" spans="3:3" x14ac:dyDescent="0.2">
      <c r="C199" s="2" t="s">
        <v>26</v>
      </c>
    </row>
    <row r="200" spans="3:3" x14ac:dyDescent="0.2">
      <c r="C200" s="2" t="s">
        <v>27</v>
      </c>
    </row>
    <row r="204" spans="3:3" x14ac:dyDescent="0.2">
      <c r="C204" s="3"/>
    </row>
  </sheetData>
  <mergeCells count="18">
    <mergeCell ref="E189:H189"/>
    <mergeCell ref="E190:H190"/>
    <mergeCell ref="F8:F10"/>
    <mergeCell ref="G8:H8"/>
    <mergeCell ref="G9:G10"/>
    <mergeCell ref="H9:H10"/>
    <mergeCell ref="E188:H188"/>
    <mergeCell ref="F2:H2"/>
    <mergeCell ref="E3:H3"/>
    <mergeCell ref="E4:H4"/>
    <mergeCell ref="A5:H5"/>
    <mergeCell ref="F6:I6"/>
    <mergeCell ref="A7:A10"/>
    <mergeCell ref="C7:C10"/>
    <mergeCell ref="D7:D10"/>
    <mergeCell ref="E7:E10"/>
    <mergeCell ref="F7:H7"/>
    <mergeCell ref="B7:B10"/>
  </mergeCells>
  <printOptions horizontalCentered="1"/>
  <pageMargins left="3.937007874015748E-2" right="3.937007874015748E-2" top="0.19685039370078741" bottom="3.937007874015748E-2" header="3.937007874015748E-2" footer="3.937007874015748E-2"/>
  <pageSetup paperSize="9" scale="60"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BIEU 02 -2022</vt:lpstr>
      <vt:lpstr>'BIEU 02 -2022'!Print_Area</vt:lpstr>
      <vt:lpstr>'BIEU 02 -2022'!Print_Titles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oanhnt</cp:lastModifiedBy>
  <dcterms:created xsi:type="dcterms:W3CDTF">2021-06-19T07:14:30Z</dcterms:created>
  <dcterms:modified xsi:type="dcterms:W3CDTF">2021-07-01T09:45:32Z</dcterms:modified>
</cp:coreProperties>
</file>
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E:\update TTBC\2024_T7_KHNV\EXCEL_TEMPLATE\KHNV\"/>
    </mc:Choice>
  </mc:AlternateContent>
  <bookViews>
    <workbookView xWindow="-120" yWindow="-120" windowWidth="20730" windowHeight="11040"/>
  </bookViews>
  <sheets>
    <sheet name="BIEU 02 -2023" sheetId="12" r:id="rId1"/>
  </sheets>
  <definedNames>
    <definedName name="_xlnm.Print_Area" localSheetId="0">'BIEU 02 -2023'!$A$1:$H$93</definedName>
    <definedName name="_xlnm.Print_Titles" localSheetId="0">'BIEU 02 -2023'!$7:$11</definedName>
  </definedNames>
  <calcPr calcId="162913"/>
</workbook>
</file>

<file path=xl/calcChain.xml><?xml version="1.0" encoding="utf-8"?>
<calcChain xmlns="http://schemas.openxmlformats.org/spreadsheetml/2006/main">
  <c r="E61" i="12" l="1"/>
  <c r="F61" i="12"/>
  <c r="E50" i="12"/>
  <c r="F50" i="12"/>
  <c r="E43" i="12"/>
  <c r="F43" i="12"/>
  <c r="E33" i="12"/>
  <c r="F33" i="12"/>
  <c r="E20" i="12"/>
  <c r="F20" i="12"/>
  <c r="E15" i="12"/>
  <c r="F15" i="12"/>
  <c r="H86" i="12"/>
  <c r="H85" i="12"/>
  <c r="H84" i="12"/>
  <c r="H83" i="12"/>
  <c r="H82" i="12"/>
  <c r="H81" i="12"/>
  <c r="H80" i="12"/>
  <c r="H79" i="12"/>
  <c r="H78" i="12"/>
  <c r="H77" i="12"/>
  <c r="H76" i="12"/>
  <c r="H75" i="12"/>
  <c r="H74" i="12"/>
  <c r="H73" i="12"/>
  <c r="H72" i="12"/>
  <c r="H71" i="12"/>
  <c r="H70" i="12"/>
  <c r="H69" i="12"/>
  <c r="H68" i="12"/>
  <c r="H67" i="12"/>
  <c r="H66" i="12"/>
  <c r="H65" i="12"/>
  <c r="H64" i="12"/>
  <c r="H63" i="12"/>
  <c r="H62" i="12"/>
  <c r="H61" i="12"/>
  <c r="H60" i="12"/>
  <c r="H59" i="12"/>
  <c r="H58" i="12"/>
  <c r="H57" i="12"/>
  <c r="H56" i="12"/>
  <c r="H55" i="12"/>
  <c r="H54" i="12"/>
  <c r="H53" i="12"/>
  <c r="H52" i="12"/>
  <c r="H51" i="12"/>
  <c r="H50" i="12"/>
  <c r="H49" i="12"/>
  <c r="H48" i="12"/>
  <c r="H47" i="12"/>
  <c r="H46" i="12"/>
  <c r="H45" i="12"/>
  <c r="H44" i="12"/>
  <c r="H43" i="12"/>
  <c r="H42" i="12"/>
  <c r="H41" i="12"/>
  <c r="H40" i="12"/>
  <c r="H39" i="12"/>
  <c r="H38" i="12"/>
  <c r="H37" i="12"/>
  <c r="H36" i="12"/>
  <c r="H35" i="12"/>
  <c r="H34" i="12"/>
  <c r="H33" i="12"/>
  <c r="H32" i="12"/>
  <c r="H31" i="12"/>
  <c r="H30" i="12"/>
  <c r="H29" i="12"/>
  <c r="H28" i="12"/>
  <c r="H27" i="12"/>
  <c r="H26" i="12"/>
  <c r="H25" i="12"/>
  <c r="H24" i="12"/>
  <c r="H23" i="12"/>
  <c r="H22" i="12"/>
  <c r="H21" i="12"/>
  <c r="H17" i="12"/>
  <c r="H16" i="12"/>
  <c r="H15" i="12"/>
  <c r="F19" i="12" l="1"/>
  <c r="E19" i="12"/>
  <c r="D15" i="12" l="1"/>
  <c r="D61" i="12" l="1"/>
  <c r="D50" i="12" s="1"/>
  <c r="G16" i="12"/>
  <c r="G17" i="12"/>
  <c r="G18" i="12"/>
  <c r="H18" i="12" s="1"/>
  <c r="G21" i="12"/>
  <c r="G22" i="12"/>
  <c r="G23" i="12"/>
  <c r="G24" i="12"/>
  <c r="G25" i="12"/>
  <c r="G26" i="12"/>
  <c r="G27" i="12"/>
  <c r="G28" i="12"/>
  <c r="G29" i="12"/>
  <c r="G30" i="12"/>
  <c r="G31" i="12"/>
  <c r="G32" i="12"/>
  <c r="G34" i="12"/>
  <c r="G35" i="12"/>
  <c r="G36" i="12"/>
  <c r="G37" i="12"/>
  <c r="G38" i="12"/>
  <c r="G39" i="12"/>
  <c r="G40" i="12"/>
  <c r="G41" i="12"/>
  <c r="G42" i="12"/>
  <c r="G44" i="12"/>
  <c r="G45" i="12"/>
  <c r="G46" i="12"/>
  <c r="G47" i="12"/>
  <c r="G48" i="12"/>
  <c r="G49" i="12"/>
  <c r="G51" i="12"/>
  <c r="G52" i="12"/>
  <c r="G53" i="12"/>
  <c r="G54" i="12"/>
  <c r="G55" i="12"/>
  <c r="G56" i="12"/>
  <c r="G57" i="12"/>
  <c r="G58" i="12"/>
  <c r="G59" i="12"/>
  <c r="G60" i="12"/>
  <c r="G61" i="12"/>
  <c r="G62" i="12"/>
  <c r="G63" i="12"/>
  <c r="G64" i="12"/>
  <c r="G65" i="12"/>
  <c r="G66" i="12"/>
  <c r="G68" i="12"/>
  <c r="G70" i="12"/>
  <c r="G72" i="12"/>
  <c r="G74" i="12"/>
  <c r="G76" i="12"/>
  <c r="G77" i="12"/>
  <c r="G78" i="12"/>
  <c r="G79" i="12"/>
  <c r="G80" i="12"/>
  <c r="G81" i="12"/>
  <c r="G82" i="12"/>
  <c r="G83" i="12"/>
  <c r="G85" i="12"/>
  <c r="G86" i="12"/>
  <c r="G50" i="12" l="1"/>
  <c r="D33" i="12"/>
  <c r="G15" i="12" l="1"/>
  <c r="G73" i="12"/>
  <c r="F12" i="12"/>
  <c r="F13" i="12" s="1"/>
  <c r="F14" i="12" s="1"/>
  <c r="D43" i="12"/>
  <c r="D20" i="12" l="1"/>
  <c r="D19" i="12" s="1"/>
  <c r="D12" i="12" s="1"/>
  <c r="D13" i="12" s="1"/>
  <c r="D14" i="12" s="1"/>
  <c r="G84" i="12"/>
  <c r="G75" i="12"/>
  <c r="G71" i="12"/>
  <c r="G69" i="12"/>
  <c r="G43" i="12"/>
  <c r="G33" i="12"/>
  <c r="H20" i="12"/>
  <c r="G67" i="12" l="1"/>
  <c r="G20" i="12"/>
  <c r="G19" i="12" l="1"/>
  <c r="H19" i="12"/>
  <c r="E12" i="12"/>
  <c r="H12" i="12" l="1"/>
  <c r="E13" i="12"/>
  <c r="G12" i="12"/>
  <c r="E14" i="12" l="1"/>
  <c r="H13" i="12"/>
  <c r="G13" i="12"/>
  <c r="H14" i="12" l="1"/>
  <c r="G14" i="12"/>
</calcChain>
</file>

<file path=xl/sharedStrings.xml><?xml version="1.0" encoding="utf-8"?>
<sst xmlns="http://schemas.openxmlformats.org/spreadsheetml/2006/main" count="183" uniqueCount="167">
  <si>
    <t>CỘNG HOÀ XÃ HỘI CHỦ NGHĨA VIỆT NAM</t>
  </si>
  <si>
    <t>STT</t>
  </si>
  <si>
    <t>CHỈ TIÊU</t>
  </si>
  <si>
    <t>A</t>
  </si>
  <si>
    <t>B</t>
  </si>
  <si>
    <t>C</t>
  </si>
  <si>
    <t>(Ký tên, đóng dấu)</t>
  </si>
  <si>
    <t>I</t>
  </si>
  <si>
    <t>NGUỒN VỐN</t>
  </si>
  <si>
    <t>II</t>
  </si>
  <si>
    <t>SỬ DỤNG VỐN</t>
  </si>
  <si>
    <t>III</t>
  </si>
  <si>
    <t>Nguồn vốn huy động tại địa phương được TW cấp bù lãi suất</t>
  </si>
  <si>
    <t>Số tuyệt đối (+/-)</t>
  </si>
  <si>
    <t>Số tương đối (%)</t>
  </si>
  <si>
    <t>Đơn vị: triệu đồng, %, hộ, người</t>
  </si>
  <si>
    <t>NGUỒN VỐN CÂN ĐỐI TỪ TRUNG ƯƠNG</t>
  </si>
  <si>
    <t>Nguồn vốn cân đối chuyển từ Trung ương</t>
  </si>
  <si>
    <t>Tổng số</t>
  </si>
  <si>
    <t xml:space="preserve">                     GIÁM ĐỐC</t>
  </si>
  <si>
    <t xml:space="preserve">                 (Ký tên, đóng dấu)</t>
  </si>
  <si>
    <t xml:space="preserve">         NGÂN HÀNG CHÍNH SÁCH XÃ HỘI</t>
  </si>
  <si>
    <t>Số công trình NS&amp;VSMT NT dự kiến được xây dựng từ nguồn vốn vay NHCSXH</t>
  </si>
  <si>
    <t>TRƯỞNG BĐD HĐQT - NHCSXH</t>
  </si>
  <si>
    <t>DƯ NỢ NGUỒN VỐN TRUNG ƯƠNG</t>
  </si>
  <si>
    <r>
      <t>Độc l</t>
    </r>
    <r>
      <rPr>
        <b/>
        <u/>
        <sz val="12"/>
        <rFont val="Times New Roman"/>
        <family val="1"/>
      </rPr>
      <t xml:space="preserve">ập - Tự do - Hạnh </t>
    </r>
    <r>
      <rPr>
        <b/>
        <sz val="12"/>
        <rFont val="Times New Roman"/>
        <family val="1"/>
      </rPr>
      <t>phúc</t>
    </r>
  </si>
  <si>
    <t>NGUỒN VỐN NHẬN ỦY THÁC ĐẦU TƯ TẠI ĐỊA PHƯƠNG</t>
  </si>
  <si>
    <t>Tổng số xã trên địa bàn</t>
  </si>
  <si>
    <t xml:space="preserve">          </t>
  </si>
  <si>
    <t>- Cho vay dự án NIPPON (Mở rộng tài chính cho người khuyết tật)</t>
  </si>
  <si>
    <t>Tiền gửi của tổ chức, cá nhân</t>
  </si>
  <si>
    <t>Tiền gửi của Tổ viên Tổ Tiết kiệm và vay vốn</t>
  </si>
  <si>
    <t>…, ngày ….. tháng ….. năm ……..</t>
  </si>
  <si>
    <t>(PGD lập gửi tỉnh, tỉnh tổng hợp gửi HSC)</t>
  </si>
  <si>
    <r>
      <t xml:space="preserve">Mô tả biểu số 02/NHCS-KH
* Tại cấp huyện:
</t>
    </r>
    <r>
      <rPr>
        <sz val="12"/>
        <rFont val="Times New Roman"/>
        <family val="1"/>
        <charset val="163"/>
      </rPr>
      <t xml:space="preserve">- Cột 2: Theo thứ tự liệt kê các chỉ tiêu tại biểu.
- Cột 3: Hỗ trợ lấy tự động theo dư nợ đến 31/12/2021 của từng đơn vị cấp huyện, trường hợp số liệu có sai sót (do người dùng đăng ký sai mã) thì có thể chỉnh sửa nhưng vẫn phải đảm bảo nguyên tắc của các dòng tổng cộng.
- Cột 4: Trung tâm CNTT hỗ trợ xuất dư nợ đến 30/6/2022 để các đơn vị ước số thực hiện đến 31/12/2022 và chỉnh sửa trực tiếp trên mẫu biểu 02/NHCS-KH trên chương trình TTBC.
- Cột 5: Tổng số kế hoạch tín dụng 2023 tính toán tự động từ các mẫu 01/NHCS-KH của các xã để tổng hợp tương ứng lên số tổng toàn huyện theo từng chương trình.
- Cột 6: Tính tự động trên cơ sở số liệu của cột 4 và cột 5. Cột 6 = cột 5 trừ (-) cột 4.
- Cột 7: Tính tự động: cột 7 = cột 6 chia (:) cột 4 (%)
</t>
    </r>
    <r>
      <rPr>
        <b/>
        <sz val="12"/>
        <rFont val="Times New Roman"/>
        <family val="1"/>
        <charset val="163"/>
      </rPr>
      <t xml:space="preserve">* Tại cấp tỉnh: </t>
    </r>
    <r>
      <rPr>
        <sz val="12"/>
        <rFont val="Times New Roman"/>
        <family val="1"/>
        <charset val="163"/>
      </rPr>
      <t xml:space="preserve">
- Cột 3, 4, 5, 6: Được tổng hợp tự động từ mẫu 02/NHCS-KH của cấp huyện. Cột 4, 5, 6 không được phép chỉnh sửa số liệu, riêng Cột 3 có thể chỉnh sửa trực tiếp trên chương trình TTBC nhưng vẫn phải đảm bảo nguyên tắc của các dòng tổng cộng
- Cột 7: Tính tự động: cột 7 = cột 6 chia (:) cột 4 (%)
 </t>
    </r>
    <r>
      <rPr>
        <b/>
        <sz val="12"/>
        <rFont val="Times New Roman"/>
        <family val="1"/>
        <charset val="163"/>
      </rPr>
      <t>Lưu ý:</t>
    </r>
    <r>
      <rPr>
        <sz val="12"/>
        <rFont val="Times New Roman"/>
        <family val="1"/>
        <charset val="163"/>
      </rPr>
      <t xml:space="preserve">
- Mục B. Nguồn vốn nhận ủy thác đầu tư tại địa phương và mục B. Dư nợ nguồn vốn địa phương, cấp tỉnh được phép chỉnh sửa trực tiếp trên chương trình TTBC
- STT 27 (Mục A) và 21 (Mục B) cho phép chỉnh sửa tên chương trình
- Các chỉ tiêu không mô tả để trống chi nhánh cập nhập dữ liệu</t>
    </r>
    <r>
      <rPr>
        <b/>
        <sz val="12"/>
        <rFont val="Times New Roman"/>
        <family val="1"/>
      </rPr>
      <t xml:space="preserve">
</t>
    </r>
  </si>
  <si>
    <t>XD00010</t>
  </si>
  <si>
    <t>XD00011</t>
  </si>
  <si>
    <t>XD00012</t>
  </si>
  <si>
    <t>XD00013</t>
  </si>
  <si>
    <t>XD00014</t>
  </si>
  <si>
    <t>XD00015</t>
  </si>
  <si>
    <t>XD00016</t>
  </si>
  <si>
    <t>XD00017</t>
  </si>
  <si>
    <t>XD00018</t>
  </si>
  <si>
    <t>XD00019</t>
  </si>
  <si>
    <t>XD00020</t>
  </si>
  <si>
    <t>XD00021</t>
  </si>
  <si>
    <t>XD00022</t>
  </si>
  <si>
    <t>XD00023</t>
  </si>
  <si>
    <t>XD00024</t>
  </si>
  <si>
    <t>XD00025</t>
  </si>
  <si>
    <t>XD00027</t>
  </si>
  <si>
    <t>XD00028</t>
  </si>
  <si>
    <t>XD00029</t>
  </si>
  <si>
    <t>XD00030</t>
  </si>
  <si>
    <t>XD00031</t>
  </si>
  <si>
    <t>XD00032</t>
  </si>
  <si>
    <t>XD00033</t>
  </si>
  <si>
    <t>XD00034</t>
  </si>
  <si>
    <t>XD00035</t>
  </si>
  <si>
    <t>XD00036</t>
  </si>
  <si>
    <t>XD00037</t>
  </si>
  <si>
    <t>XD00038</t>
  </si>
  <si>
    <t>XD00039</t>
  </si>
  <si>
    <t>XD00040</t>
  </si>
  <si>
    <t>XD00041</t>
  </si>
  <si>
    <t>XD00044</t>
  </si>
  <si>
    <t>XD00045</t>
  </si>
  <si>
    <t>XD00046</t>
  </si>
  <si>
    <t>XD00048</t>
  </si>
  <si>
    <t>XD00049</t>
  </si>
  <si>
    <t>XD00050</t>
  </si>
  <si>
    <t>XD00051</t>
  </si>
  <si>
    <t>XD00052</t>
  </si>
  <si>
    <t>XD00053</t>
  </si>
  <si>
    <t>XD00054</t>
  </si>
  <si>
    <t>XD00055</t>
  </si>
  <si>
    <t>XD00056</t>
  </si>
  <si>
    <t>XD00057</t>
  </si>
  <si>
    <t>XD00058</t>
  </si>
  <si>
    <t>XD00059</t>
  </si>
  <si>
    <t>XD00060</t>
  </si>
  <si>
    <t>XD00061</t>
  </si>
  <si>
    <t>XD00063</t>
  </si>
  <si>
    <t>XD00064</t>
  </si>
  <si>
    <t>XD00065</t>
  </si>
  <si>
    <t>XD00069</t>
  </si>
  <si>
    <t>XD00070</t>
  </si>
  <si>
    <t>Biểu số 02A/NHCS-KH</t>
  </si>
  <si>
    <t>Cho vay hộ nghèo (theo NĐ 78/2002/NĐ-CP)</t>
  </si>
  <si>
    <t>Cho vay hộ cận nghèo (theo QĐ 15/2013/QĐ-TTg)</t>
  </si>
  <si>
    <t>Cho vay hộ mới thoát nghèo (theo QĐ 28/2015/QĐ-TTg)</t>
  </si>
  <si>
    <t>Cho vay học sinh, sinh viên có hoàn cảnh khó khăn (theo QĐ 157/2007/QĐ-TTg)</t>
  </si>
  <si>
    <t>Cho vay hỗ trợ tạo việc làm, duy trì và mở rộng việc làm từ nguồn vốn Quỹ quốc gia về việc làm (theo NĐ số 61/2015/NĐ-CP; NĐ số 74/2019/NĐ-CP)</t>
  </si>
  <si>
    <t>Cho vay hỗ trợ tạo việc làm, duy trì và mở rộng việc làm từ nguồn vốn NHCSXH huy động (theo NĐ số 61/2015/NĐ-CP; NĐ 74/2019/NĐ-CP)</t>
  </si>
  <si>
    <t>Cho vay người lao động đi làm việc ở nước ngoài (theo QĐ 365/QĐ-NHNN, QĐ 1465/QĐ-TTg, QĐ 63/2015/QĐ-TTg và NĐ 61/2015/NĐ-CP)</t>
  </si>
  <si>
    <t>Cho vay hộ gia đình SXKD tại VKK (theo QĐ 31/2007/QĐ-TTg)</t>
  </si>
  <si>
    <t>Cho vay thương nhân tại VKK (theo QĐ 92/2009/QĐ-TTg)</t>
  </si>
  <si>
    <t>Cho vay nhà ở vùng thường xuyên ngập lũ ĐBSCL</t>
  </si>
  <si>
    <t>Cho vay người chấp hành xong án phạt tù (theo QĐ 22/2023/QĐ-TTg)</t>
  </si>
  <si>
    <t>Cho vay nhà ở xã hội (theo NĐ 100/2015/NĐ-CP)</t>
  </si>
  <si>
    <t>- Mua, thuê mua nhà ở xã hội</t>
  </si>
  <si>
    <t>- Xây mới, cải tạo, sứa chữa nhà để ở</t>
  </si>
  <si>
    <t>Cho vay phát triển kinh tế - xã hội vùng đồng bào DTTS và miền núi (theo NĐ số 28/2022/NĐ-CP)</t>
  </si>
  <si>
    <t>Cho vay người sử dụng lao động để trả lương ngừng việc, trả lương phục hồi sản xuất (theo QĐ 23/2021/QĐ-TTg)</t>
  </si>
  <si>
    <t>Cho vay đối với học sinh, sinh viên có hoàn cảnh gia đình khó khăn để mua máy tính, thiết bị học tập trực tuyến (theo QĐ 09/2022/QĐ-TTg)</t>
  </si>
  <si>
    <t>Cho vay đối với các cơ sở giáo dục mầm non, tiểu học ngoài công lập (theo QĐ 11/2022/QĐ-TTg)</t>
  </si>
  <si>
    <t>Cho vay hộ đồng bào dân tộc thiểu số (theo QĐ 32/2007/QĐ-TTg, QĐ 54/2012/QĐ-TTg, QĐ 74/2008/QĐ-TTg, QĐ 29/2013/QĐ-TTg, QĐ 1592/QĐ-TTg, QĐ 755/QĐ-TTg, QĐ 2085/QĐ-TTg)</t>
  </si>
  <si>
    <t>Cho vay trồng rừng sản xuất, phát triển chăn nuôi (theo NĐ 75/2015/NĐ-CP)</t>
  </si>
  <si>
    <t>Cho vay hỗ trợ hộ nghèo về nhà ở (theo QĐ 167/2008/QĐ-TTg, QĐ 33/2015/QĐ-TTg, QĐ 716/QĐ-TTg, QĐ 48/2014/QĐ-TTg)</t>
  </si>
  <si>
    <t>Cho vay một số dự án vốn nước ngoài</t>
  </si>
  <si>
    <t>- Cho vay dự án IFAD</t>
  </si>
  <si>
    <t>- Cho vay dự án KFW (Phát triển DN vừa và nhỏ)</t>
  </si>
  <si>
    <t>- Cho vay dự án FSDP (Phát triển ngành Lâm nghiệp)</t>
  </si>
  <si>
    <t>- Cho vay dự án khác (RIDP, CWPD, HIV/AIDS, khác)</t>
  </si>
  <si>
    <t>Cho vay các chương trình khác</t>
  </si>
  <si>
    <t>NHU CẦU VAY VỐN TỪ NGUỒN VỐN ĐỊA PHƯƠNG</t>
  </si>
  <si>
    <t>Cho vay hỗ trợ tạo việc làm, duy trì và mở rộng việc làm (theo NĐ số 61/2015/NĐ-CP; NĐ 74/2019/NĐ-CP)</t>
  </si>
  <si>
    <t>QŨY AN TOÀN CHI TRẢ</t>
  </si>
  <si>
    <t>THUYẾT MINH MỘT SỐ CHỈ TIÊU (Dự kiến năm kế hoạch)</t>
  </si>
  <si>
    <t>Số hộ dân cư trú trên địa bàn</t>
  </si>
  <si>
    <t>Số hộ dân là hộ đồng bào dân tộc thiểu số</t>
  </si>
  <si>
    <t>Số hộ là DTTS đủ điều kiện vay vốn nhưng chưa được vay vốn NHCSXH</t>
  </si>
  <si>
    <t>Số hộ nghèo đủ điều kiện vay vốn nhưng chưa được vay vốn NHCSXH</t>
  </si>
  <si>
    <t>Số hộ cận nghèo đủ điều kiện vay vốn nhưng chưa được vay vốn NHCSXH</t>
  </si>
  <si>
    <t>Số hộ mới thoát nghèo đủ điều kiện vay vốn nhưng chưa được vay vốn NHCSXH</t>
  </si>
  <si>
    <t>Số hộ gia đình sản xuất kinh doanh vùng khó khăn trên địa bàn có nhu cầu vay vốn</t>
  </si>
  <si>
    <t>Số thương nhân hoạt động thương mại tại vùng khó khăn có nhu cầu vay vốn</t>
  </si>
  <si>
    <t>Tổng số HSSV có hoàn cảnh khó khăn có nhu cầu vay vốn</t>
  </si>
  <si>
    <t>Số lao động có nhu cầu vay vốn giải quyết việc làm</t>
  </si>
  <si>
    <t>Số lao động có nhu cầu vay vốn đi lao động có thời hạn ở nước ngoài</t>
  </si>
  <si>
    <t>Số xã thuộc vùng khó khăn</t>
  </si>
  <si>
    <t>a</t>
  </si>
  <si>
    <t>b</t>
  </si>
  <si>
    <t>XD0001</t>
  </si>
  <si>
    <t>XD0002</t>
  </si>
  <si>
    <t>XD0003</t>
  </si>
  <si>
    <t>XD0004</t>
  </si>
  <si>
    <t>XD0005</t>
  </si>
  <si>
    <t>XD0006</t>
  </si>
  <si>
    <t>XD0007</t>
  </si>
  <si>
    <t>XD0008</t>
  </si>
  <si>
    <t>XD0009</t>
  </si>
  <si>
    <t>XD00026</t>
  </si>
  <si>
    <t>XD00042</t>
  </si>
  <si>
    <t>XD00043</t>
  </si>
  <si>
    <t>XD00047</t>
  </si>
  <si>
    <t>XD00062</t>
  </si>
  <si>
    <t>XD00066</t>
  </si>
  <si>
    <t>XD00067</t>
  </si>
  <si>
    <t>XD00068</t>
  </si>
  <si>
    <t>XD00071</t>
  </si>
  <si>
    <t>XD00072</t>
  </si>
  <si>
    <t>XD00073</t>
  </si>
  <si>
    <t>XD00074</t>
  </si>
  <si>
    <t>XD00075</t>
  </si>
  <si>
    <t>KẾ HOẠCH TÍN DỤNG NĂM 2025</t>
  </si>
  <si>
    <t>Thực hiện đến 31/12/2023</t>
  </si>
  <si>
    <t>Ước thực hiện đến 31/12/2024</t>
  </si>
  <si>
    <t>Kế hoạch tín dụng năm 2025</t>
  </si>
  <si>
    <t>Tăng, giảm so với 31/12/2024</t>
  </si>
  <si>
    <t>Cho vay chương trình NS&amp;VSMT NT (theo QĐ 62/2004/QĐ-TTg)</t>
  </si>
  <si>
    <t>Dự kiến nhu cầu vay vốn của hộ gia đình, cá nhân xây dựng nhà ở xã hội để cho thuê, cho thuê mua, bán</t>
  </si>
  <si>
    <t>Số căn nhà ở xã hội dự kiến được mua/thuê mua, xây dựng/sửa chữa từ nguồn vốn vay NHCSXH</t>
  </si>
  <si>
    <t>Số hộ mới thoát nghèo</t>
  </si>
  <si>
    <t>Số hộ cận nghèo theo chuẩn hộ cận nghèo</t>
  </si>
  <si>
    <t>Số hộ nghèo theo chuẩn hộ nghèo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</si>
</sst>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4">
    <font>
      <sz val="10"/>
      <name val="Arial"/>
    </font>
    <font>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Times New Roman"/>
      <family val="1"/>
    </font>
    <font>
      <sz val="10"/>
      <name val="Times New Roman"/>
      <family val="1"/>
    </font>
    <font>
      <b/>
      <sz val="12"/>
      <name val="Times New Roman"/>
      <family val="1"/>
    </font>
    <font>
      <i/>
      <sz val="10"/>
      <name val="Times New Roman"/>
      <family val="1"/>
    </font>
    <font>
      <sz val="11"/>
      <name val="Times New Roman"/>
      <family val="1"/>
    </font>
    <font>
      <i/>
      <sz val="12"/>
      <name val="Times New Roman"/>
      <family val="1"/>
    </font>
    <font>
      <sz val="12"/>
      <name val=".VnTime"/>
      <family val="2"/>
    </font>
    <font>
      <i/>
      <sz val="11"/>
      <name val="Times New Roman"/>
      <family val="1"/>
    </font>
    <font>
      <b/>
      <u/>
      <sz val="12"/>
      <name val="Times New Roman"/>
      <family val="1"/>
    </font>
    <font>
      <sz val="10"/>
      <name val="Arial"/>
      <family val="2"/>
    </font>
    <font>
      <sz val="10"/>
      <name val="Arial"/>
      <family val="2"/>
      <charset val="163"/>
    </font>
    <font>
      <b/>
      <sz val="12"/>
      <name val="Times New Roman"/>
      <family val="1"/>
      <charset val="163"/>
    </font>
    <font>
      <sz val="12"/>
      <name val="Times New Roman"/>
      <family val="1"/>
      <charset val="163"/>
    </font>
    <font>
      <b/>
      <sz val="10"/>
      <name val="Times New Roman"/>
      <family val="1"/>
    </font>
    <font>
      <sz val="12"/>
      <name val="Arial"/>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rgb="FFB7B7B7"/>
      </patternFill>
    </fill>
  </fills>
  <borders count="17">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9" borderId="0" applyNumberFormat="0" applyBorder="0" applyAlignment="0" applyProtection="0"/>
    <xf numFmtId="0" fontId="4" fillId="3" borderId="0" applyNumberFormat="0" applyBorder="0" applyAlignment="0" applyProtection="0"/>
    <xf numFmtId="0" fontId="5" fillId="20" borderId="1" applyNumberFormat="0" applyAlignment="0" applyProtection="0"/>
    <xf numFmtId="0" fontId="6" fillId="21" borderId="2" applyNumberFormat="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0" borderId="3" applyNumberFormat="0" applyFill="0" applyAlignment="0" applyProtection="0"/>
    <xf numFmtId="0" fontId="10" fillId="0" borderId="4" applyNumberFormat="0" applyFill="0" applyAlignment="0" applyProtection="0"/>
    <xf numFmtId="0" fontId="11" fillId="0" borderId="5" applyNumberFormat="0" applyFill="0" applyAlignment="0" applyProtection="0"/>
    <xf numFmtId="0" fontId="11" fillId="0" borderId="0" applyNumberFormat="0" applyFill="0" applyBorder="0" applyAlignment="0" applyProtection="0"/>
    <xf numFmtId="0" fontId="12" fillId="7" borderId="1" applyNumberFormat="0" applyAlignment="0" applyProtection="0"/>
    <xf numFmtId="0" fontId="13" fillId="0" borderId="6" applyNumberFormat="0" applyFill="0" applyAlignment="0" applyProtection="0"/>
    <xf numFmtId="0" fontId="14" fillId="22" borderId="0" applyNumberFormat="0" applyBorder="0" applyAlignment="0" applyProtection="0"/>
    <xf numFmtId="0" fontId="28" fillId="0" borderId="0"/>
    <xf numFmtId="0" fontId="29" fillId="0" borderId="0"/>
    <xf numFmtId="0" fontId="25" fillId="0" borderId="0"/>
    <xf numFmtId="0" fontId="1" fillId="23" borderId="7" applyNumberFormat="0" applyFont="0" applyAlignment="0" applyProtection="0"/>
    <xf numFmtId="0" fontId="15" fillId="20" borderId="8" applyNumberFormat="0" applyAlignment="0" applyProtection="0"/>
    <xf numFmtId="9" fontId="1" fillId="0" borderId="0" applyFont="0" applyFill="0" applyBorder="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60">
    <xf numFmtId="0" fontId="0" fillId="0" borderId="0" xfId="0"/>
    <xf numFmtId="0" fontId="19" fillId="0" borderId="0" xfId="0" applyFont="1" applyAlignment="1">
      <alignment vertical="center"/>
    </xf>
    <xf numFmtId="0" fontId="20" fillId="0" borderId="0" xfId="0" applyFont="1" applyAlignment="1">
      <alignment vertical="center"/>
    </xf>
    <xf numFmtId="0" fontId="23" fillId="0" borderId="0" xfId="0" applyFont="1" applyAlignment="1">
      <alignment vertical="center"/>
    </xf>
    <xf numFmtId="0" fontId="22" fillId="0" borderId="0" xfId="0" applyFont="1" applyAlignment="1">
      <alignment vertical="center"/>
    </xf>
    <xf numFmtId="0" fontId="26" fillId="0" borderId="0" xfId="0" applyFont="1" applyAlignment="1">
      <alignment vertical="center"/>
    </xf>
    <xf numFmtId="0" fontId="21" fillId="0" borderId="0" xfId="0" applyFont="1" applyAlignment="1">
      <alignment vertical="center"/>
    </xf>
    <xf numFmtId="0" fontId="24" fillId="0" borderId="0" xfId="0" applyFont="1" applyAlignment="1">
      <alignment vertical="center"/>
    </xf>
    <xf numFmtId="0" fontId="24" fillId="0" borderId="0" xfId="0" applyFont="1" applyAlignment="1">
      <alignment horizontal="right" vertical="center"/>
    </xf>
    <xf numFmtId="0" fontId="20" fillId="24" borderId="0" xfId="0" applyFont="1" applyFill="1" applyAlignment="1">
      <alignment vertical="center"/>
    </xf>
    <xf numFmtId="0" fontId="24" fillId="0" borderId="0" xfId="0" applyFont="1" applyAlignment="1">
      <alignment horizontal="center" vertical="center"/>
    </xf>
    <xf numFmtId="0" fontId="23" fillId="25" borderId="0" xfId="0" applyFont="1" applyFill="1" applyAlignment="1">
      <alignment vertical="center"/>
    </xf>
    <xf numFmtId="0" fontId="20" fillId="25" borderId="0" xfId="0" applyFont="1" applyFill="1" applyAlignment="1">
      <alignment vertical="center"/>
    </xf>
    <xf numFmtId="0" fontId="22" fillId="25" borderId="0" xfId="0" applyFont="1" applyFill="1" applyAlignment="1">
      <alignment vertical="center"/>
    </xf>
    <xf numFmtId="0" fontId="19" fillId="25" borderId="0" xfId="0" applyFont="1" applyFill="1" applyAlignment="1">
      <alignment vertical="center"/>
    </xf>
    <xf numFmtId="0" fontId="19" fillId="0" borderId="0" xfId="0" applyFont="1" applyAlignment="1">
      <alignment horizontal="right" vertical="center"/>
    </xf>
    <xf numFmtId="0" fontId="23" fillId="0" borderId="0" xfId="0" applyFont="1" applyAlignment="1">
      <alignment horizontal="right" vertical="center"/>
    </xf>
    <xf numFmtId="3" fontId="19" fillId="0" borderId="10" xfId="39" applyNumberFormat="1" applyFont="1" applyBorder="1" applyAlignment="1" applyProtection="1">
      <alignment horizontal="right" vertical="center" wrapText="1"/>
      <protection locked="0"/>
    </xf>
    <xf numFmtId="3" fontId="19" fillId="0" borderId="10" xfId="0" applyNumberFormat="1" applyFont="1" applyBorder="1" applyAlignment="1" applyProtection="1">
      <alignment horizontal="right" vertical="center"/>
      <protection locked="0"/>
    </xf>
    <xf numFmtId="0" fontId="32" fillId="0" borderId="0" xfId="0" applyFont="1" applyAlignment="1">
      <alignment vertical="center"/>
    </xf>
    <xf numFmtId="3" fontId="21" fillId="0" borderId="10" xfId="39" applyNumberFormat="1" applyFont="1" applyBorder="1" applyAlignment="1" applyProtection="1">
      <alignment horizontal="right" vertical="center" wrapText="1"/>
      <protection locked="0"/>
    </xf>
    <xf numFmtId="0" fontId="19" fillId="0" borderId="0" xfId="0" applyFont="1" applyAlignment="1" applyProtection="1">
      <alignment vertical="center"/>
      <protection locked="0"/>
    </xf>
    <xf numFmtId="0" fontId="21" fillId="0" borderId="0" xfId="0" applyFont="1" applyAlignment="1" applyProtection="1">
      <alignment vertical="center"/>
      <protection locked="0"/>
    </xf>
    <xf numFmtId="0" fontId="21" fillId="0" borderId="0" xfId="0" applyFont="1" applyAlignment="1" applyProtection="1">
      <alignment horizontal="left" vertical="center"/>
      <protection locked="0"/>
    </xf>
    <xf numFmtId="3" fontId="19" fillId="25" borderId="10" xfId="0" quotePrefix="1" applyNumberFormat="1" applyFont="1" applyFill="1" applyBorder="1" applyAlignment="1" applyProtection="1">
      <alignment horizontal="right" vertical="center" wrapText="1"/>
      <protection locked="0"/>
    </xf>
    <xf numFmtId="0" fontId="24" fillId="25" borderId="13" xfId="0" applyFont="1" applyFill="1" applyBorder="1" applyAlignment="1">
      <alignment horizontal="center" vertical="center" wrapText="1"/>
    </xf>
    <xf numFmtId="0" fontId="24" fillId="25" borderId="10" xfId="0" applyFont="1" applyFill="1" applyBorder="1" applyAlignment="1">
      <alignment horizontal="center" vertical="center" wrapText="1"/>
    </xf>
    <xf numFmtId="0" fontId="19" fillId="25" borderId="10" xfId="0" applyFont="1" applyFill="1" applyBorder="1" applyAlignment="1">
      <alignment horizontal="center" vertical="center" wrapText="1"/>
    </xf>
    <xf numFmtId="0" fontId="21" fillId="25" borderId="10" xfId="0" applyFont="1" applyFill="1" applyBorder="1" applyAlignment="1">
      <alignment horizontal="center" vertical="center" wrapText="1"/>
    </xf>
    <xf numFmtId="0" fontId="21" fillId="25" borderId="10" xfId="0" applyFont="1" applyFill="1" applyBorder="1" applyAlignment="1">
      <alignment horizontal="left" vertical="center" wrapText="1"/>
    </xf>
    <xf numFmtId="3" fontId="21" fillId="25" borderId="10" xfId="0" quotePrefix="1" applyNumberFormat="1" applyFont="1" applyFill="1" applyBorder="1" applyAlignment="1">
      <alignment horizontal="right" vertical="center" wrapText="1"/>
    </xf>
    <xf numFmtId="10" fontId="21" fillId="25" borderId="10" xfId="42" quotePrefix="1" applyNumberFormat="1" applyFont="1" applyFill="1" applyBorder="1" applyAlignment="1" applyProtection="1">
      <alignment horizontal="right" vertical="center" wrapText="1"/>
    </xf>
    <xf numFmtId="0" fontId="19" fillId="25" borderId="10" xfId="0" applyFont="1" applyFill="1" applyBorder="1" applyAlignment="1">
      <alignment horizontal="center" vertical="center"/>
    </xf>
    <xf numFmtId="0" fontId="19" fillId="25" borderId="10" xfId="0" applyFont="1" applyFill="1" applyBorder="1" applyAlignment="1">
      <alignment horizontal="left" vertical="center" wrapText="1"/>
    </xf>
    <xf numFmtId="3" fontId="19" fillId="25" borderId="10" xfId="0" quotePrefix="1" applyNumberFormat="1" applyFont="1" applyFill="1" applyBorder="1" applyAlignment="1">
      <alignment horizontal="right" vertical="center" wrapText="1"/>
    </xf>
    <xf numFmtId="0" fontId="21" fillId="0" borderId="0" xfId="0" applyFont="1" applyAlignment="1">
      <alignment vertical="top" wrapText="1"/>
    </xf>
    <xf numFmtId="0" fontId="21" fillId="25" borderId="10" xfId="0" applyFont="1" applyFill="1" applyBorder="1" applyAlignment="1">
      <alignment horizontal="center" vertical="center"/>
    </xf>
    <xf numFmtId="0" fontId="24" fillId="25" borderId="10" xfId="0" applyFont="1" applyFill="1" applyBorder="1" applyAlignment="1">
      <alignment horizontal="left" vertical="center" wrapText="1"/>
    </xf>
    <xf numFmtId="0" fontId="33" fillId="25" borderId="10" xfId="0" applyFont="1" applyFill="1" applyBorder="1" applyAlignment="1">
      <alignment horizontal="center" vertical="center" wrapText="1"/>
    </xf>
    <xf numFmtId="3" fontId="21" fillId="0" borderId="10" xfId="0" quotePrefix="1" applyNumberFormat="1" applyFont="1" applyFill="1" applyBorder="1" applyAlignment="1" applyProtection="1">
      <alignment horizontal="right" vertical="center"/>
      <protection locked="0"/>
    </xf>
    <xf numFmtId="3" fontId="19" fillId="0" borderId="10" xfId="0" applyNumberFormat="1" applyFont="1" applyFill="1" applyBorder="1" applyAlignment="1" applyProtection="1">
      <alignment horizontal="right" vertical="center"/>
      <protection locked="0"/>
    </xf>
    <xf numFmtId="3" fontId="19" fillId="0" borderId="10" xfId="0" quotePrefix="1" applyNumberFormat="1" applyFont="1" applyFill="1" applyBorder="1" applyAlignment="1" applyProtection="1">
      <alignment horizontal="right" vertical="center" wrapText="1"/>
      <protection locked="0"/>
    </xf>
    <xf numFmtId="0" fontId="19" fillId="26" borderId="10" xfId="0" applyFont="1" applyFill="1" applyBorder="1" applyAlignment="1">
      <alignment horizontal="left" vertical="center" wrapText="1"/>
    </xf>
    <xf numFmtId="3" fontId="19" fillId="25" borderId="10" xfId="0" quotePrefix="1" applyNumberFormat="1" applyFont="1" applyFill="1" applyBorder="1" applyAlignment="1" applyProtection="1">
      <alignment horizontal="right" vertical="center" wrapText="1"/>
    </xf>
    <xf numFmtId="0" fontId="19" fillId="25" borderId="10" xfId="0" applyFont="1" applyFill="1" applyBorder="1" applyAlignment="1">
      <alignment horizontal="center" vertical="center" wrapText="1"/>
    </xf>
    <xf numFmtId="0" fontId="24" fillId="0" borderId="0" xfId="0" applyFont="1" applyAlignment="1">
      <alignment horizontal="center" vertical="center"/>
    </xf>
    <xf numFmtId="0" fontId="21" fillId="0" borderId="0" xfId="0" applyFont="1" applyAlignment="1">
      <alignment horizontal="center" vertical="center"/>
    </xf>
    <xf numFmtId="0" fontId="24" fillId="25" borderId="10" xfId="0" applyFont="1" applyFill="1" applyBorder="1" applyAlignment="1">
      <alignment horizontal="center" vertical="center" wrapText="1"/>
    </xf>
    <xf numFmtId="0" fontId="21" fillId="25" borderId="10" xfId="0" applyFont="1" applyFill="1" applyBorder="1" applyAlignment="1">
      <alignment horizontal="center" vertical="center" wrapText="1"/>
    </xf>
    <xf numFmtId="0" fontId="21" fillId="25" borderId="10" xfId="0" applyFont="1" applyFill="1" applyBorder="1" applyAlignment="1">
      <alignment horizontal="center" vertical="center"/>
    </xf>
    <xf numFmtId="0" fontId="21" fillId="25" borderId="13" xfId="0" applyFont="1" applyFill="1" applyBorder="1" applyAlignment="1">
      <alignment horizontal="center" vertical="center" wrapText="1"/>
    </xf>
    <xf numFmtId="0" fontId="21" fillId="25" borderId="11" xfId="0" applyFont="1" applyFill="1" applyBorder="1" applyAlignment="1">
      <alignment horizontal="center" vertical="center" wrapText="1"/>
    </xf>
    <xf numFmtId="0" fontId="21" fillId="25" borderId="12" xfId="0" applyFont="1" applyFill="1" applyBorder="1" applyAlignment="1">
      <alignment horizontal="center" vertical="center" wrapText="1"/>
    </xf>
    <xf numFmtId="0" fontId="21" fillId="25" borderId="14" xfId="0" applyFont="1" applyFill="1" applyBorder="1" applyAlignment="1">
      <alignment horizontal="center" vertical="center" wrapText="1"/>
    </xf>
    <xf numFmtId="0" fontId="21" fillId="25" borderId="15" xfId="0" applyFont="1" applyFill="1" applyBorder="1" applyAlignment="1">
      <alignment horizontal="center" vertical="center" wrapText="1"/>
    </xf>
    <xf numFmtId="0" fontId="24" fillId="0" borderId="0" xfId="0" applyFont="1" applyAlignment="1" applyProtection="1">
      <alignment horizontal="center" vertical="center"/>
      <protection locked="0"/>
    </xf>
    <xf numFmtId="0" fontId="21" fillId="0" borderId="0" xfId="0" applyFont="1" applyAlignment="1" applyProtection="1">
      <alignment horizontal="right"/>
      <protection locked="0"/>
    </xf>
    <xf numFmtId="0" fontId="21" fillId="0" borderId="0" xfId="0" applyFont="1" applyAlignment="1" applyProtection="1">
      <alignment horizontal="center"/>
      <protection locked="0"/>
    </xf>
    <xf numFmtId="0" fontId="21" fillId="0" borderId="0" xfId="0" applyFont="1" applyAlignment="1" applyProtection="1">
      <alignment horizontal="center" vertical="center" wrapText="1"/>
      <protection locked="0"/>
    </xf>
    <xf numFmtId="0" fontId="24" fillId="0" borderId="16" xfId="0" applyFont="1" applyBorder="1" applyAlignment="1" applyProtection="1">
      <alignment horizontal="right" vertical="center"/>
      <protection locked="0"/>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cellStyle name="Normal 5" xfId="38"/>
    <cellStyle name="Normal_1a. Mau bieu Ke hoach hoa  949 ngay 08-6-2004" xfId="39"/>
    <cellStyle name="Note" xfId="40" builtinId="10" customBuiltin="1"/>
    <cellStyle name="Output" xfId="41" builtinId="21" customBuiltin="1"/>
    <cellStyle name="Percent" xfId="42" builtinId="5"/>
    <cellStyle name="Title" xfId="43" builtinId="15" customBuiltin="1"/>
    <cellStyle name="Total" xfId="44" builtinId="25" customBuiltin="1"/>
    <cellStyle name="Warning Text" xfId="45"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AZ125"/>
  <sheetViews>
    <sheetView tabSelected="1" zoomScale="96" zoomScaleNormal="96" workbookViewId="0">
      <pane ySplit="10" topLeftCell="A59" activePane="bottomLeft" state="frozen"/>
      <selection pane="bottomLeft" activeCell="C4" sqref="C4"/>
    </sheetView>
  </sheetViews>
  <sheetFormatPr defaultColWidth="9.140625" defaultRowHeight="15.75"/>
  <cols>
    <col min="1" max="1" width="6.42578125" style="1" customWidth="1"/>
    <col min="2" max="2" width="12.28515625" style="1" customWidth="1"/>
    <col min="3" max="3" width="74.85546875" style="1" customWidth="1"/>
    <col min="4" max="4" width="15.42578125" style="1" customWidth="1"/>
    <col min="5" max="5" width="14.5703125" style="1" customWidth="1"/>
    <col min="6" max="6" width="15.28515625" style="1" customWidth="1"/>
    <col min="7" max="7" width="17.85546875" style="1" customWidth="1"/>
    <col min="8" max="8" width="16.28515625" style="2" customWidth="1"/>
    <col min="9" max="16384" width="9.140625" style="2"/>
  </cols>
  <sheetData>
    <row r="1" spans="1:52">
      <c r="A1" s="21"/>
      <c r="B1" s="21"/>
      <c r="C1" s="21"/>
      <c r="D1" s="21"/>
      <c r="E1" s="21"/>
      <c r="F1" s="22"/>
      <c r="G1" s="22" t="s">
        <v>88</v>
      </c>
      <c r="H1" s="22"/>
    </row>
    <row r="2" spans="1:52">
      <c r="A2" s="23" t="s">
        <v>21</v>
      </c>
      <c r="B2" s="23"/>
      <c r="C2" s="21"/>
      <c r="D2" s="21"/>
      <c r="E2" s="55" t="s">
        <v>33</v>
      </c>
      <c r="F2" s="55"/>
      <c r="G2" s="55"/>
      <c r="H2" s="55"/>
    </row>
    <row r="3" spans="1:52">
      <c r="A3" s="23"/>
      <c r="B3" s="23"/>
      <c r="C3" s="23"/>
      <c r="D3" s="56" t="s">
        <v>0</v>
      </c>
      <c r="E3" s="56"/>
      <c r="F3" s="56"/>
      <c r="G3" s="56"/>
      <c r="H3" s="56"/>
    </row>
    <row r="4" spans="1:52">
      <c r="A4" s="21"/>
      <c r="B4" s="21"/>
      <c r="C4" s="23"/>
      <c r="D4" s="23"/>
      <c r="E4" s="57" t="s">
        <v>25</v>
      </c>
      <c r="F4" s="57"/>
      <c r="G4" s="57"/>
      <c r="H4" s="57"/>
    </row>
    <row r="5" spans="1:52">
      <c r="A5" s="58" t="s">
        <v>156</v>
      </c>
      <c r="B5" s="58"/>
      <c r="C5" s="58"/>
      <c r="D5" s="58"/>
      <c r="E5" s="58"/>
      <c r="F5" s="58"/>
      <c r="G5" s="58"/>
      <c r="H5" s="58"/>
    </row>
    <row r="6" spans="1:52">
      <c r="A6" s="21"/>
      <c r="B6" s="21"/>
      <c r="C6" s="21"/>
      <c r="D6" s="21"/>
      <c r="E6" s="21"/>
      <c r="F6" s="59" t="s">
        <v>15</v>
      </c>
      <c r="G6" s="59"/>
      <c r="H6" s="59"/>
    </row>
    <row r="7" spans="1:52">
      <c r="A7" s="48" t="s">
        <v>1</v>
      </c>
      <c r="B7" s="50"/>
      <c r="C7" s="48" t="s">
        <v>2</v>
      </c>
      <c r="D7" s="48" t="s">
        <v>157</v>
      </c>
      <c r="E7" s="48" t="s">
        <v>158</v>
      </c>
      <c r="F7" s="49" t="s">
        <v>159</v>
      </c>
      <c r="G7" s="49"/>
      <c r="H7" s="49"/>
    </row>
    <row r="8" spans="1:52">
      <c r="A8" s="48"/>
      <c r="B8" s="51"/>
      <c r="C8" s="48"/>
      <c r="D8" s="48"/>
      <c r="E8" s="48"/>
      <c r="F8" s="50" t="s">
        <v>18</v>
      </c>
      <c r="G8" s="53" t="s">
        <v>160</v>
      </c>
      <c r="H8" s="54"/>
    </row>
    <row r="9" spans="1:52" ht="12.75">
      <c r="A9" s="48"/>
      <c r="B9" s="51"/>
      <c r="C9" s="48"/>
      <c r="D9" s="48"/>
      <c r="E9" s="48"/>
      <c r="F9" s="51"/>
      <c r="G9" s="47" t="s">
        <v>13</v>
      </c>
      <c r="H9" s="44" t="s">
        <v>14</v>
      </c>
    </row>
    <row r="10" spans="1:52" ht="8.25" customHeight="1">
      <c r="A10" s="48"/>
      <c r="B10" s="52"/>
      <c r="C10" s="48"/>
      <c r="D10" s="48"/>
      <c r="E10" s="48"/>
      <c r="F10" s="52"/>
      <c r="G10" s="47"/>
      <c r="H10" s="44"/>
    </row>
    <row r="11" spans="1:52" ht="18.75" customHeight="1">
      <c r="A11" s="25">
        <v>1</v>
      </c>
      <c r="B11" s="25"/>
      <c r="C11" s="25">
        <v>2</v>
      </c>
      <c r="D11" s="26">
        <v>3</v>
      </c>
      <c r="E11" s="26">
        <v>4</v>
      </c>
      <c r="F11" s="26">
        <v>5</v>
      </c>
      <c r="G11" s="26">
        <v>6</v>
      </c>
      <c r="H11" s="27">
        <v>7</v>
      </c>
    </row>
    <row r="12" spans="1:52" s="14" customFormat="1">
      <c r="A12" s="28" t="s">
        <v>3</v>
      </c>
      <c r="B12" s="28" t="s">
        <v>134</v>
      </c>
      <c r="C12" s="29" t="s">
        <v>8</v>
      </c>
      <c r="D12" s="30">
        <f>D19</f>
        <v>0</v>
      </c>
      <c r="E12" s="30">
        <f t="shared" ref="E12:F12" si="0">E19</f>
        <v>0</v>
      </c>
      <c r="F12" s="30">
        <f t="shared" si="0"/>
        <v>0</v>
      </c>
      <c r="G12" s="30">
        <f>F12-E12</f>
        <v>0</v>
      </c>
      <c r="H12" s="31" t="str">
        <f>IF(E12=0, "", ROUND((G12/E12)*100, 2))</f>
        <v/>
      </c>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row>
    <row r="13" spans="1:52" s="14" customFormat="1">
      <c r="A13" s="28" t="s">
        <v>7</v>
      </c>
      <c r="B13" s="28" t="s">
        <v>135</v>
      </c>
      <c r="C13" s="29" t="s">
        <v>16</v>
      </c>
      <c r="D13" s="30">
        <f>D12-D18</f>
        <v>0</v>
      </c>
      <c r="E13" s="30">
        <f t="shared" ref="E13:F13" si="1">E12-E18</f>
        <v>0</v>
      </c>
      <c r="F13" s="30">
        <f t="shared" si="1"/>
        <v>0</v>
      </c>
      <c r="G13" s="30">
        <f t="shared" ref="G13:G76" si="2">F13-E13</f>
        <v>0</v>
      </c>
      <c r="H13" s="31" t="str">
        <f t="shared" ref="H13:H76" si="3">IF(E13=0, "", ROUND((G13/E13)*100, 2))</f>
        <v/>
      </c>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row>
    <row r="14" spans="1:52" s="11" customFormat="1">
      <c r="A14" s="27">
        <v>1</v>
      </c>
      <c r="B14" s="32" t="s">
        <v>136</v>
      </c>
      <c r="C14" s="33" t="s">
        <v>17</v>
      </c>
      <c r="D14" s="34">
        <f>D13-D15</f>
        <v>0</v>
      </c>
      <c r="E14" s="34">
        <f t="shared" ref="E14:F14" si="4">E13-E15</f>
        <v>0</v>
      </c>
      <c r="F14" s="34">
        <f t="shared" si="4"/>
        <v>0</v>
      </c>
      <c r="G14" s="30">
        <f t="shared" si="2"/>
        <v>0</v>
      </c>
      <c r="H14" s="31" t="str">
        <f t="shared" si="3"/>
        <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row>
    <row r="15" spans="1:52" s="11" customFormat="1">
      <c r="A15" s="27">
        <v>2</v>
      </c>
      <c r="B15" s="32" t="s">
        <v>137</v>
      </c>
      <c r="C15" s="33" t="s">
        <v>12</v>
      </c>
      <c r="D15" s="34">
        <f t="shared" ref="D15:F15" si="5">D16+D17</f>
        <v>0</v>
      </c>
      <c r="E15" s="34">
        <f t="shared" si="5"/>
        <v>0</v>
      </c>
      <c r="F15" s="34">
        <f t="shared" si="5"/>
        <v>0</v>
      </c>
      <c r="G15" s="30">
        <f t="shared" si="2"/>
        <v>0</v>
      </c>
      <c r="H15" s="31" t="str">
        <f t="shared" si="3"/>
        <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row>
    <row r="16" spans="1:52" s="5" customFormat="1">
      <c r="A16" s="27" t="s">
        <v>132</v>
      </c>
      <c r="B16" s="32" t="s">
        <v>138</v>
      </c>
      <c r="C16" s="33" t="s">
        <v>30</v>
      </c>
      <c r="D16" s="17"/>
      <c r="E16" s="17"/>
      <c r="F16" s="17"/>
      <c r="G16" s="30">
        <f t="shared" si="2"/>
        <v>0</v>
      </c>
      <c r="H16" s="31" t="str">
        <f t="shared" si="3"/>
        <v/>
      </c>
    </row>
    <row r="17" spans="1:52" s="5" customFormat="1">
      <c r="A17" s="27" t="s">
        <v>133</v>
      </c>
      <c r="B17" s="32" t="s">
        <v>139</v>
      </c>
      <c r="C17" s="33" t="s">
        <v>31</v>
      </c>
      <c r="D17" s="17"/>
      <c r="E17" s="17"/>
      <c r="F17" s="17"/>
      <c r="G17" s="30">
        <f t="shared" si="2"/>
        <v>0</v>
      </c>
      <c r="H17" s="31" t="str">
        <f t="shared" si="3"/>
        <v/>
      </c>
    </row>
    <row r="18" spans="1:52">
      <c r="A18" s="28" t="s">
        <v>9</v>
      </c>
      <c r="B18" s="36" t="s">
        <v>140</v>
      </c>
      <c r="C18" s="29" t="s">
        <v>26</v>
      </c>
      <c r="D18" s="20"/>
      <c r="E18" s="20"/>
      <c r="F18" s="20"/>
      <c r="G18" s="30">
        <f t="shared" si="2"/>
        <v>0</v>
      </c>
      <c r="H18" s="31" t="str">
        <f t="shared" si="3"/>
        <v/>
      </c>
    </row>
    <row r="19" spans="1:52" s="19" customFormat="1">
      <c r="A19" s="28" t="s">
        <v>4</v>
      </c>
      <c r="B19" s="36" t="s">
        <v>141</v>
      </c>
      <c r="C19" s="29" t="s">
        <v>10</v>
      </c>
      <c r="D19" s="30">
        <f>D20+D50+D66</f>
        <v>0</v>
      </c>
      <c r="E19" s="30">
        <f t="shared" ref="E19:F19" si="6">E20+E50+E66</f>
        <v>0</v>
      </c>
      <c r="F19" s="30">
        <f t="shared" si="6"/>
        <v>0</v>
      </c>
      <c r="G19" s="30">
        <f t="shared" si="2"/>
        <v>0</v>
      </c>
      <c r="H19" s="31" t="str">
        <f t="shared" si="3"/>
        <v/>
      </c>
    </row>
    <row r="20" spans="1:52" s="19" customFormat="1">
      <c r="A20" s="28" t="s">
        <v>7</v>
      </c>
      <c r="B20" s="36" t="s">
        <v>142</v>
      </c>
      <c r="C20" s="29" t="s">
        <v>24</v>
      </c>
      <c r="D20" s="30">
        <f>SUM(D21:D33)+SUM(D36:D43)+D49</f>
        <v>0</v>
      </c>
      <c r="E20" s="30">
        <f t="shared" ref="E20:F20" si="7">SUM(E21:E33)+SUM(E36:E43)+E49</f>
        <v>0</v>
      </c>
      <c r="F20" s="30">
        <f t="shared" si="7"/>
        <v>0</v>
      </c>
      <c r="G20" s="30">
        <f t="shared" si="2"/>
        <v>0</v>
      </c>
      <c r="H20" s="31" t="str">
        <f t="shared" si="3"/>
        <v/>
      </c>
    </row>
    <row r="21" spans="1:52" s="14" customFormat="1">
      <c r="A21" s="27">
        <v>1</v>
      </c>
      <c r="B21" s="32" t="s">
        <v>35</v>
      </c>
      <c r="C21" s="33" t="s">
        <v>89</v>
      </c>
      <c r="D21" s="18"/>
      <c r="E21" s="18"/>
      <c r="F21" s="18"/>
      <c r="G21" s="30">
        <f t="shared" si="2"/>
        <v>0</v>
      </c>
      <c r="H21" s="31" t="str">
        <f t="shared" si="3"/>
        <v/>
      </c>
      <c r="I21" s="15"/>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row>
    <row r="22" spans="1:52" s="11" customFormat="1">
      <c r="A22" s="27">
        <v>2</v>
      </c>
      <c r="B22" s="32" t="s">
        <v>36</v>
      </c>
      <c r="C22" s="33" t="s">
        <v>90</v>
      </c>
      <c r="D22" s="18"/>
      <c r="E22" s="18"/>
      <c r="F22" s="18"/>
      <c r="G22" s="30">
        <f t="shared" si="2"/>
        <v>0</v>
      </c>
      <c r="H22" s="31" t="str">
        <f t="shared" si="3"/>
        <v/>
      </c>
      <c r="I22" s="16"/>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row>
    <row r="23" spans="1:52" s="11" customFormat="1">
      <c r="A23" s="27">
        <v>3</v>
      </c>
      <c r="B23" s="32" t="s">
        <v>37</v>
      </c>
      <c r="C23" s="33" t="s">
        <v>91</v>
      </c>
      <c r="D23" s="18"/>
      <c r="E23" s="18"/>
      <c r="F23" s="18"/>
      <c r="G23" s="30">
        <f t="shared" si="2"/>
        <v>0</v>
      </c>
      <c r="H23" s="31" t="str">
        <f t="shared" si="3"/>
        <v/>
      </c>
      <c r="I23" s="16"/>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row>
    <row r="24" spans="1:52">
      <c r="A24" s="27">
        <v>4</v>
      </c>
      <c r="B24" s="32" t="s">
        <v>38</v>
      </c>
      <c r="C24" s="33" t="s">
        <v>92</v>
      </c>
      <c r="D24" s="18"/>
      <c r="E24" s="18"/>
      <c r="F24" s="18"/>
      <c r="G24" s="30">
        <f t="shared" si="2"/>
        <v>0</v>
      </c>
      <c r="H24" s="31" t="str">
        <f t="shared" si="3"/>
        <v/>
      </c>
    </row>
    <row r="25" spans="1:52" ht="31.5">
      <c r="A25" s="27">
        <v>5</v>
      </c>
      <c r="B25" s="32" t="s">
        <v>39</v>
      </c>
      <c r="C25" s="33" t="s">
        <v>93</v>
      </c>
      <c r="D25" s="18"/>
      <c r="E25" s="18"/>
      <c r="F25" s="18"/>
      <c r="G25" s="30">
        <f t="shared" si="2"/>
        <v>0</v>
      </c>
      <c r="H25" s="31" t="str">
        <f t="shared" si="3"/>
        <v/>
      </c>
    </row>
    <row r="26" spans="1:52" ht="31.5">
      <c r="A26" s="27">
        <v>6</v>
      </c>
      <c r="B26" s="32" t="s">
        <v>40</v>
      </c>
      <c r="C26" s="33" t="s">
        <v>94</v>
      </c>
      <c r="D26" s="18"/>
      <c r="E26" s="18"/>
      <c r="F26" s="18"/>
      <c r="G26" s="30">
        <f t="shared" si="2"/>
        <v>0</v>
      </c>
      <c r="H26" s="31" t="str">
        <f t="shared" si="3"/>
        <v/>
      </c>
    </row>
    <row r="27" spans="1:52" ht="31.5">
      <c r="A27" s="27">
        <v>7</v>
      </c>
      <c r="B27" s="32" t="s">
        <v>41</v>
      </c>
      <c r="C27" s="33" t="s">
        <v>95</v>
      </c>
      <c r="D27" s="18"/>
      <c r="E27" s="18"/>
      <c r="F27" s="18"/>
      <c r="G27" s="30">
        <f t="shared" si="2"/>
        <v>0</v>
      </c>
      <c r="H27" s="31" t="str">
        <f t="shared" si="3"/>
        <v/>
      </c>
    </row>
    <row r="28" spans="1:52">
      <c r="A28" s="27">
        <v>8</v>
      </c>
      <c r="B28" s="32" t="s">
        <v>42</v>
      </c>
      <c r="C28" s="33" t="s">
        <v>161</v>
      </c>
      <c r="D28" s="18"/>
      <c r="E28" s="18"/>
      <c r="F28" s="18"/>
      <c r="G28" s="30">
        <f t="shared" si="2"/>
        <v>0</v>
      </c>
      <c r="H28" s="31" t="str">
        <f t="shared" si="3"/>
        <v/>
      </c>
    </row>
    <row r="29" spans="1:52">
      <c r="A29" s="27">
        <v>9</v>
      </c>
      <c r="B29" s="32" t="s">
        <v>43</v>
      </c>
      <c r="C29" s="33" t="s">
        <v>96</v>
      </c>
      <c r="D29" s="18"/>
      <c r="E29" s="18"/>
      <c r="F29" s="18"/>
      <c r="G29" s="30">
        <f t="shared" si="2"/>
        <v>0</v>
      </c>
      <c r="H29" s="31" t="str">
        <f t="shared" si="3"/>
        <v/>
      </c>
    </row>
    <row r="30" spans="1:52">
      <c r="A30" s="27">
        <v>10</v>
      </c>
      <c r="B30" s="32" t="s">
        <v>44</v>
      </c>
      <c r="C30" s="33" t="s">
        <v>97</v>
      </c>
      <c r="D30" s="18"/>
      <c r="E30" s="18"/>
      <c r="F30" s="18"/>
      <c r="G30" s="30">
        <f t="shared" si="2"/>
        <v>0</v>
      </c>
      <c r="H30" s="31" t="str">
        <f t="shared" si="3"/>
        <v/>
      </c>
    </row>
    <row r="31" spans="1:52">
      <c r="A31" s="27">
        <v>11</v>
      </c>
      <c r="B31" s="32" t="s">
        <v>45</v>
      </c>
      <c r="C31" s="33" t="s">
        <v>98</v>
      </c>
      <c r="D31" s="18"/>
      <c r="E31" s="18"/>
      <c r="F31" s="18"/>
      <c r="G31" s="30">
        <f t="shared" si="2"/>
        <v>0</v>
      </c>
      <c r="H31" s="31" t="str">
        <f t="shared" si="3"/>
        <v/>
      </c>
    </row>
    <row r="32" spans="1:52" s="9" customFormat="1">
      <c r="A32" s="27">
        <v>12</v>
      </c>
      <c r="B32" s="32" t="s">
        <v>46</v>
      </c>
      <c r="C32" s="33" t="s">
        <v>99</v>
      </c>
      <c r="D32" s="18"/>
      <c r="E32" s="18"/>
      <c r="F32" s="18"/>
      <c r="G32" s="30">
        <f t="shared" si="2"/>
        <v>0</v>
      </c>
      <c r="H32" s="31" t="str">
        <f t="shared" si="3"/>
        <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c r="A33" s="27">
        <v>13</v>
      </c>
      <c r="B33" s="32" t="s">
        <v>47</v>
      </c>
      <c r="C33" s="33" t="s">
        <v>100</v>
      </c>
      <c r="D33" s="43">
        <f>D34+D35</f>
        <v>0</v>
      </c>
      <c r="E33" s="43">
        <f t="shared" ref="E33:F33" si="8">E34+E35</f>
        <v>0</v>
      </c>
      <c r="F33" s="43">
        <f t="shared" si="8"/>
        <v>0</v>
      </c>
      <c r="G33" s="30">
        <f t="shared" si="2"/>
        <v>0</v>
      </c>
      <c r="H33" s="31" t="str">
        <f t="shared" si="3"/>
        <v/>
      </c>
    </row>
    <row r="34" spans="1:52" ht="16.5" customHeight="1">
      <c r="A34" s="47"/>
      <c r="B34" s="32" t="s">
        <v>48</v>
      </c>
      <c r="C34" s="37" t="s">
        <v>101</v>
      </c>
      <c r="D34" s="18"/>
      <c r="E34" s="18"/>
      <c r="F34" s="18"/>
      <c r="G34" s="30">
        <f t="shared" si="2"/>
        <v>0</v>
      </c>
      <c r="H34" s="31" t="str">
        <f t="shared" si="3"/>
        <v/>
      </c>
    </row>
    <row r="35" spans="1:52" s="9" customFormat="1">
      <c r="A35" s="47"/>
      <c r="B35" s="32" t="s">
        <v>49</v>
      </c>
      <c r="C35" s="37" t="s">
        <v>102</v>
      </c>
      <c r="D35" s="18"/>
      <c r="E35" s="18"/>
      <c r="F35" s="18"/>
      <c r="G35" s="30">
        <f t="shared" si="2"/>
        <v>0</v>
      </c>
      <c r="H35" s="31" t="str">
        <f t="shared" si="3"/>
        <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9" customFormat="1" ht="31.5">
      <c r="A36" s="27">
        <v>14</v>
      </c>
      <c r="B36" s="32" t="s">
        <v>50</v>
      </c>
      <c r="C36" s="33" t="s">
        <v>103</v>
      </c>
      <c r="D36" s="18"/>
      <c r="E36" s="18"/>
      <c r="F36" s="18"/>
      <c r="G36" s="30">
        <f t="shared" si="2"/>
        <v>0</v>
      </c>
      <c r="H36" s="31" t="str">
        <f t="shared" si="3"/>
        <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9" customFormat="1" ht="31.5">
      <c r="A37" s="27">
        <v>15</v>
      </c>
      <c r="B37" s="32" t="s">
        <v>143</v>
      </c>
      <c r="C37" s="33" t="s">
        <v>104</v>
      </c>
      <c r="D37" s="18"/>
      <c r="E37" s="18"/>
      <c r="F37" s="18"/>
      <c r="G37" s="30">
        <f t="shared" si="2"/>
        <v>0</v>
      </c>
      <c r="H37" s="31" t="str">
        <f t="shared" si="3"/>
        <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9" customFormat="1" ht="31.5">
      <c r="A38" s="27">
        <v>16</v>
      </c>
      <c r="B38" s="32" t="s">
        <v>51</v>
      </c>
      <c r="C38" s="33" t="s">
        <v>105</v>
      </c>
      <c r="D38" s="18"/>
      <c r="E38" s="18"/>
      <c r="F38" s="18"/>
      <c r="G38" s="30">
        <f t="shared" si="2"/>
        <v>0</v>
      </c>
      <c r="H38" s="31" t="str">
        <f t="shared" si="3"/>
        <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9" customFormat="1" ht="31.5">
      <c r="A39" s="27">
        <v>17</v>
      </c>
      <c r="B39" s="32" t="s">
        <v>52</v>
      </c>
      <c r="C39" s="33" t="s">
        <v>106</v>
      </c>
      <c r="D39" s="18"/>
      <c r="E39" s="18"/>
      <c r="F39" s="18"/>
      <c r="G39" s="30">
        <f t="shared" si="2"/>
        <v>0</v>
      </c>
      <c r="H39" s="31" t="str">
        <f t="shared" si="3"/>
        <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9" customFormat="1" ht="47.25">
      <c r="A40" s="27">
        <v>18</v>
      </c>
      <c r="B40" s="32" t="s">
        <v>53</v>
      </c>
      <c r="C40" s="33" t="s">
        <v>107</v>
      </c>
      <c r="D40" s="18"/>
      <c r="E40" s="18"/>
      <c r="F40" s="18"/>
      <c r="G40" s="30">
        <f t="shared" si="2"/>
        <v>0</v>
      </c>
      <c r="H40" s="31" t="str">
        <f t="shared" si="3"/>
        <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9" customFormat="1">
      <c r="A41" s="27">
        <v>19</v>
      </c>
      <c r="B41" s="32" t="s">
        <v>54</v>
      </c>
      <c r="C41" s="33" t="s">
        <v>108</v>
      </c>
      <c r="D41" s="18"/>
      <c r="E41" s="18"/>
      <c r="F41" s="18"/>
      <c r="G41" s="30">
        <f t="shared" si="2"/>
        <v>0</v>
      </c>
      <c r="H41" s="31" t="str">
        <f t="shared" si="3"/>
        <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ht="31.5">
      <c r="A42" s="27">
        <v>20</v>
      </c>
      <c r="B42" s="32" t="s">
        <v>55</v>
      </c>
      <c r="C42" s="33" t="s">
        <v>109</v>
      </c>
      <c r="D42" s="18"/>
      <c r="E42" s="18"/>
      <c r="F42" s="18"/>
      <c r="G42" s="30">
        <f t="shared" si="2"/>
        <v>0</v>
      </c>
      <c r="H42" s="31" t="str">
        <f t="shared" si="3"/>
        <v/>
      </c>
    </row>
    <row r="43" spans="1:52" s="9" customFormat="1">
      <c r="A43" s="27">
        <v>21</v>
      </c>
      <c r="B43" s="32" t="s">
        <v>56</v>
      </c>
      <c r="C43" s="33" t="s">
        <v>110</v>
      </c>
      <c r="D43" s="24">
        <f>SUM(D44:D48)</f>
        <v>0</v>
      </c>
      <c r="E43" s="24">
        <f t="shared" ref="E43:F43" si="9">SUM(E44:E48)</f>
        <v>0</v>
      </c>
      <c r="F43" s="24">
        <f t="shared" si="9"/>
        <v>0</v>
      </c>
      <c r="G43" s="30">
        <f t="shared" si="2"/>
        <v>0</v>
      </c>
      <c r="H43" s="31" t="str">
        <f t="shared" si="3"/>
        <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9" customFormat="1">
      <c r="A44" s="38"/>
      <c r="B44" s="32" t="s">
        <v>57</v>
      </c>
      <c r="C44" s="37" t="s">
        <v>111</v>
      </c>
      <c r="D44" s="18"/>
      <c r="E44" s="18"/>
      <c r="F44" s="18"/>
      <c r="G44" s="30">
        <f t="shared" si="2"/>
        <v>0</v>
      </c>
      <c r="H44" s="31" t="str">
        <f t="shared" si="3"/>
        <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c r="A45" s="38"/>
      <c r="B45" s="32" t="s">
        <v>58</v>
      </c>
      <c r="C45" s="37" t="s">
        <v>112</v>
      </c>
      <c r="D45" s="18"/>
      <c r="E45" s="18"/>
      <c r="F45" s="18"/>
      <c r="G45" s="30">
        <f t="shared" si="2"/>
        <v>0</v>
      </c>
      <c r="H45" s="31" t="str">
        <f t="shared" si="3"/>
        <v/>
      </c>
    </row>
    <row r="46" spans="1:52">
      <c r="A46" s="38"/>
      <c r="B46" s="32" t="s">
        <v>59</v>
      </c>
      <c r="C46" s="37" t="s">
        <v>113</v>
      </c>
      <c r="D46" s="18"/>
      <c r="E46" s="18"/>
      <c r="F46" s="18"/>
      <c r="G46" s="30">
        <f t="shared" si="2"/>
        <v>0</v>
      </c>
      <c r="H46" s="31" t="str">
        <f t="shared" si="3"/>
        <v/>
      </c>
    </row>
    <row r="47" spans="1:52">
      <c r="A47" s="38"/>
      <c r="B47" s="32" t="s">
        <v>60</v>
      </c>
      <c r="C47" s="37" t="s">
        <v>29</v>
      </c>
      <c r="D47" s="18"/>
      <c r="E47" s="18"/>
      <c r="F47" s="18"/>
      <c r="G47" s="30">
        <f t="shared" si="2"/>
        <v>0</v>
      </c>
      <c r="H47" s="31" t="str">
        <f t="shared" si="3"/>
        <v/>
      </c>
    </row>
    <row r="48" spans="1:52" s="9" customFormat="1">
      <c r="A48" s="38"/>
      <c r="B48" s="32" t="s">
        <v>61</v>
      </c>
      <c r="C48" s="37" t="s">
        <v>114</v>
      </c>
      <c r="D48" s="18"/>
      <c r="E48" s="18"/>
      <c r="F48" s="18"/>
      <c r="G48" s="30">
        <f t="shared" si="2"/>
        <v>0</v>
      </c>
      <c r="H48" s="31" t="str">
        <f t="shared" si="3"/>
        <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9" customFormat="1">
      <c r="A49" s="27">
        <v>22</v>
      </c>
      <c r="B49" s="32" t="s">
        <v>62</v>
      </c>
      <c r="C49" s="33" t="s">
        <v>115</v>
      </c>
      <c r="D49" s="18"/>
      <c r="E49" s="18"/>
      <c r="F49" s="18"/>
      <c r="G49" s="30">
        <f t="shared" si="2"/>
        <v>0</v>
      </c>
      <c r="H49" s="31" t="str">
        <f t="shared" si="3"/>
        <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9" customFormat="1">
      <c r="A50" s="28" t="s">
        <v>9</v>
      </c>
      <c r="B50" s="36" t="s">
        <v>63</v>
      </c>
      <c r="C50" s="29" t="s">
        <v>116</v>
      </c>
      <c r="D50" s="24">
        <f>SUM(D51:D61)+D64+D65</f>
        <v>0</v>
      </c>
      <c r="E50" s="24">
        <f t="shared" ref="E50:F50" si="10">SUM(E51:E61)+E64+E65</f>
        <v>0</v>
      </c>
      <c r="F50" s="24">
        <f t="shared" si="10"/>
        <v>0</v>
      </c>
      <c r="G50" s="30">
        <f t="shared" si="2"/>
        <v>0</v>
      </c>
      <c r="H50" s="31" t="str">
        <f t="shared" si="3"/>
        <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9" customFormat="1">
      <c r="A51" s="27">
        <v>1</v>
      </c>
      <c r="B51" s="32" t="s">
        <v>64</v>
      </c>
      <c r="C51" s="33" t="s">
        <v>89</v>
      </c>
      <c r="D51" s="18"/>
      <c r="E51" s="18"/>
      <c r="F51" s="18"/>
      <c r="G51" s="30">
        <f t="shared" si="2"/>
        <v>0</v>
      </c>
      <c r="H51" s="31" t="str">
        <f t="shared" si="3"/>
        <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c r="A52" s="27">
        <v>2</v>
      </c>
      <c r="B52" s="32" t="s">
        <v>65</v>
      </c>
      <c r="C52" s="33" t="s">
        <v>90</v>
      </c>
      <c r="D52" s="18"/>
      <c r="E52" s="18"/>
      <c r="F52" s="18"/>
      <c r="G52" s="30">
        <f t="shared" si="2"/>
        <v>0</v>
      </c>
      <c r="H52" s="31" t="str">
        <f t="shared" si="3"/>
        <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4" customFormat="1">
      <c r="A53" s="27">
        <v>3</v>
      </c>
      <c r="B53" s="32" t="s">
        <v>144</v>
      </c>
      <c r="C53" s="33" t="s">
        <v>91</v>
      </c>
      <c r="D53" s="18"/>
      <c r="E53" s="18"/>
      <c r="F53" s="18"/>
      <c r="G53" s="34">
        <f t="shared" si="2"/>
        <v>0</v>
      </c>
      <c r="H53" s="31" t="str">
        <f t="shared" si="3"/>
        <v/>
      </c>
    </row>
    <row r="54" spans="1:52" s="4" customFormat="1" ht="14.25" customHeight="1">
      <c r="A54" s="27">
        <v>4</v>
      </c>
      <c r="B54" s="32" t="s">
        <v>145</v>
      </c>
      <c r="C54" s="33" t="s">
        <v>92</v>
      </c>
      <c r="D54" s="18"/>
      <c r="E54" s="18"/>
      <c r="F54" s="18"/>
      <c r="G54" s="34">
        <f t="shared" si="2"/>
        <v>0</v>
      </c>
      <c r="H54" s="31" t="str">
        <f t="shared" si="3"/>
        <v/>
      </c>
    </row>
    <row r="55" spans="1:52" s="4" customFormat="1" ht="31.5">
      <c r="A55" s="27">
        <v>5</v>
      </c>
      <c r="B55" s="32" t="s">
        <v>66</v>
      </c>
      <c r="C55" s="33" t="s">
        <v>117</v>
      </c>
      <c r="D55" s="18"/>
      <c r="E55" s="18"/>
      <c r="F55" s="18"/>
      <c r="G55" s="34">
        <f t="shared" si="2"/>
        <v>0</v>
      </c>
      <c r="H55" s="31" t="str">
        <f t="shared" si="3"/>
        <v/>
      </c>
    </row>
    <row r="56" spans="1:52" s="4" customFormat="1" ht="31.5">
      <c r="A56" s="27">
        <v>6</v>
      </c>
      <c r="B56" s="32" t="s">
        <v>67</v>
      </c>
      <c r="C56" s="33" t="s">
        <v>95</v>
      </c>
      <c r="D56" s="18"/>
      <c r="E56" s="18"/>
      <c r="F56" s="18"/>
      <c r="G56" s="34">
        <f t="shared" si="2"/>
        <v>0</v>
      </c>
      <c r="H56" s="31" t="str">
        <f t="shared" si="3"/>
        <v/>
      </c>
    </row>
    <row r="57" spans="1:52" s="4" customFormat="1">
      <c r="A57" s="27">
        <v>7</v>
      </c>
      <c r="B57" s="32" t="s">
        <v>68</v>
      </c>
      <c r="C57" s="33" t="s">
        <v>161</v>
      </c>
      <c r="D57" s="18"/>
      <c r="E57" s="18"/>
      <c r="F57" s="18"/>
      <c r="G57" s="34">
        <f t="shared" si="2"/>
        <v>0</v>
      </c>
      <c r="H57" s="31" t="str">
        <f t="shared" si="3"/>
        <v/>
      </c>
    </row>
    <row r="58" spans="1:52" s="4" customFormat="1">
      <c r="A58" s="27">
        <v>8</v>
      </c>
      <c r="B58" s="32" t="s">
        <v>146</v>
      </c>
      <c r="C58" s="33" t="s">
        <v>96</v>
      </c>
      <c r="D58" s="18"/>
      <c r="E58" s="18"/>
      <c r="F58" s="18"/>
      <c r="G58" s="34">
        <f t="shared" si="2"/>
        <v>0</v>
      </c>
      <c r="H58" s="31" t="str">
        <f t="shared" si="3"/>
        <v/>
      </c>
    </row>
    <row r="59" spans="1:52" s="4" customFormat="1">
      <c r="A59" s="27">
        <v>9</v>
      </c>
      <c r="B59" s="32" t="s">
        <v>69</v>
      </c>
      <c r="C59" s="33" t="s">
        <v>98</v>
      </c>
      <c r="D59" s="18"/>
      <c r="E59" s="18"/>
      <c r="F59" s="18"/>
      <c r="G59" s="34">
        <f t="shared" si="2"/>
        <v>0</v>
      </c>
      <c r="H59" s="31" t="str">
        <f t="shared" si="3"/>
        <v/>
      </c>
    </row>
    <row r="60" spans="1:52" s="4" customFormat="1">
      <c r="A60" s="27">
        <v>10</v>
      </c>
      <c r="B60" s="32" t="s">
        <v>70</v>
      </c>
      <c r="C60" s="33" t="s">
        <v>99</v>
      </c>
      <c r="D60" s="18"/>
      <c r="E60" s="18"/>
      <c r="F60" s="18"/>
      <c r="G60" s="34">
        <f t="shared" si="2"/>
        <v>0</v>
      </c>
      <c r="H60" s="31" t="str">
        <f t="shared" si="3"/>
        <v/>
      </c>
    </row>
    <row r="61" spans="1:52" s="13" customFormat="1">
      <c r="A61" s="27">
        <v>11</v>
      </c>
      <c r="B61" s="32" t="s">
        <v>71</v>
      </c>
      <c r="C61" s="33" t="s">
        <v>100</v>
      </c>
      <c r="D61" s="43">
        <f>SUM(D62:D63)</f>
        <v>0</v>
      </c>
      <c r="E61" s="43">
        <f t="shared" ref="E61:F61" si="11">SUM(E62:E63)</f>
        <v>0</v>
      </c>
      <c r="F61" s="43">
        <f t="shared" si="11"/>
        <v>0</v>
      </c>
      <c r="G61" s="30">
        <f t="shared" si="2"/>
        <v>0</v>
      </c>
      <c r="H61" s="31" t="str">
        <f t="shared" si="3"/>
        <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row>
    <row r="62" spans="1:52" s="4" customFormat="1" ht="16.5" customHeight="1">
      <c r="A62" s="47"/>
      <c r="B62" s="32" t="s">
        <v>72</v>
      </c>
      <c r="C62" s="37" t="s">
        <v>101</v>
      </c>
      <c r="D62" s="18"/>
      <c r="E62" s="18"/>
      <c r="F62" s="18"/>
      <c r="G62" s="34">
        <f t="shared" si="2"/>
        <v>0</v>
      </c>
      <c r="H62" s="31" t="str">
        <f t="shared" si="3"/>
        <v/>
      </c>
    </row>
    <row r="63" spans="1:52" s="4" customFormat="1">
      <c r="A63" s="47"/>
      <c r="B63" s="32" t="s">
        <v>73</v>
      </c>
      <c r="C63" s="37" t="s">
        <v>102</v>
      </c>
      <c r="D63" s="18"/>
      <c r="E63" s="18"/>
      <c r="F63" s="18"/>
      <c r="G63" s="34">
        <f t="shared" si="2"/>
        <v>0</v>
      </c>
      <c r="H63" s="31" t="str">
        <f t="shared" si="3"/>
        <v/>
      </c>
    </row>
    <row r="64" spans="1:52" s="4" customFormat="1" ht="31.5">
      <c r="A64" s="27">
        <v>12</v>
      </c>
      <c r="B64" s="32" t="s">
        <v>74</v>
      </c>
      <c r="C64" s="33" t="s">
        <v>103</v>
      </c>
      <c r="D64" s="18"/>
      <c r="E64" s="18"/>
      <c r="F64" s="18"/>
      <c r="G64" s="34">
        <f t="shared" si="2"/>
        <v>0</v>
      </c>
      <c r="H64" s="31" t="str">
        <f t="shared" si="3"/>
        <v/>
      </c>
    </row>
    <row r="65" spans="1:52" s="4" customFormat="1">
      <c r="A65" s="27">
        <v>13</v>
      </c>
      <c r="B65" s="32" t="s">
        <v>75</v>
      </c>
      <c r="C65" s="33" t="s">
        <v>115</v>
      </c>
      <c r="D65" s="18"/>
      <c r="E65" s="18"/>
      <c r="F65" s="18"/>
      <c r="G65" s="34">
        <f t="shared" si="2"/>
        <v>0</v>
      </c>
      <c r="H65" s="31" t="str">
        <f t="shared" si="3"/>
        <v/>
      </c>
    </row>
    <row r="66" spans="1:52" s="4" customFormat="1">
      <c r="A66" s="28" t="s">
        <v>11</v>
      </c>
      <c r="B66" s="36" t="s">
        <v>76</v>
      </c>
      <c r="C66" s="29" t="s">
        <v>118</v>
      </c>
      <c r="D66" s="18"/>
      <c r="E66" s="18"/>
      <c r="F66" s="18"/>
      <c r="G66" s="30">
        <f t="shared" si="2"/>
        <v>0</v>
      </c>
      <c r="H66" s="31" t="str">
        <f t="shared" si="3"/>
        <v/>
      </c>
    </row>
    <row r="67" spans="1:52" s="11" customFormat="1">
      <c r="A67" s="28" t="s">
        <v>5</v>
      </c>
      <c r="B67" s="36" t="s">
        <v>77</v>
      </c>
      <c r="C67" s="29" t="s">
        <v>119</v>
      </c>
      <c r="D67" s="39"/>
      <c r="E67" s="39"/>
      <c r="F67" s="39"/>
      <c r="G67" s="30">
        <f t="shared" si="2"/>
        <v>0</v>
      </c>
      <c r="H67" s="31" t="str">
        <f t="shared" si="3"/>
        <v/>
      </c>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row>
    <row r="68" spans="1:52" s="3" customFormat="1">
      <c r="A68" s="27">
        <v>1</v>
      </c>
      <c r="B68" s="32" t="s">
        <v>78</v>
      </c>
      <c r="C68" s="33" t="s">
        <v>120</v>
      </c>
      <c r="D68" s="40"/>
      <c r="E68" s="40"/>
      <c r="F68" s="40"/>
      <c r="G68" s="30">
        <f t="shared" si="2"/>
        <v>0</v>
      </c>
      <c r="H68" s="31" t="str">
        <f t="shared" si="3"/>
        <v/>
      </c>
    </row>
    <row r="69" spans="1:52" s="3" customFormat="1">
      <c r="A69" s="27">
        <v>2</v>
      </c>
      <c r="B69" s="32" t="s">
        <v>79</v>
      </c>
      <c r="C69" s="33" t="s">
        <v>121</v>
      </c>
      <c r="D69" s="41"/>
      <c r="E69" s="41"/>
      <c r="F69" s="41"/>
      <c r="G69" s="30">
        <f t="shared" si="2"/>
        <v>0</v>
      </c>
      <c r="H69" s="31" t="str">
        <f t="shared" si="3"/>
        <v/>
      </c>
    </row>
    <row r="70" spans="1:52" s="3" customFormat="1">
      <c r="A70" s="26"/>
      <c r="B70" s="32" t="s">
        <v>80</v>
      </c>
      <c r="C70" s="37" t="s">
        <v>122</v>
      </c>
      <c r="D70" s="40"/>
      <c r="E70" s="40"/>
      <c r="F70" s="40"/>
      <c r="G70" s="30">
        <f t="shared" si="2"/>
        <v>0</v>
      </c>
      <c r="H70" s="31" t="str">
        <f t="shared" si="3"/>
        <v/>
      </c>
    </row>
    <row r="71" spans="1:52" s="3" customFormat="1">
      <c r="A71" s="27">
        <v>3</v>
      </c>
      <c r="B71" s="32" t="s">
        <v>81</v>
      </c>
      <c r="C71" s="33" t="s">
        <v>166</v>
      </c>
      <c r="D71" s="41"/>
      <c r="E71" s="41"/>
      <c r="F71" s="41"/>
      <c r="G71" s="30">
        <f t="shared" si="2"/>
        <v>0</v>
      </c>
      <c r="H71" s="31" t="str">
        <f t="shared" si="3"/>
        <v/>
      </c>
    </row>
    <row r="72" spans="1:52" s="3" customFormat="1">
      <c r="A72" s="26"/>
      <c r="B72" s="32" t="s">
        <v>82</v>
      </c>
      <c r="C72" s="37" t="s">
        <v>123</v>
      </c>
      <c r="D72" s="40"/>
      <c r="E72" s="40"/>
      <c r="F72" s="40"/>
      <c r="G72" s="30">
        <f t="shared" si="2"/>
        <v>0</v>
      </c>
      <c r="H72" s="31" t="str">
        <f t="shared" si="3"/>
        <v/>
      </c>
    </row>
    <row r="73" spans="1:52" s="3" customFormat="1">
      <c r="A73" s="27">
        <v>4</v>
      </c>
      <c r="B73" s="32" t="s">
        <v>147</v>
      </c>
      <c r="C73" s="33" t="s">
        <v>165</v>
      </c>
      <c r="D73" s="41"/>
      <c r="E73" s="41"/>
      <c r="F73" s="41"/>
      <c r="G73" s="30">
        <f t="shared" si="2"/>
        <v>0</v>
      </c>
      <c r="H73" s="31" t="str">
        <f t="shared" si="3"/>
        <v/>
      </c>
    </row>
    <row r="74" spans="1:52" s="3" customFormat="1">
      <c r="A74" s="26"/>
      <c r="B74" s="32" t="s">
        <v>83</v>
      </c>
      <c r="C74" s="37" t="s">
        <v>124</v>
      </c>
      <c r="D74" s="40"/>
      <c r="E74" s="40"/>
      <c r="F74" s="40"/>
      <c r="G74" s="30">
        <f t="shared" si="2"/>
        <v>0</v>
      </c>
      <c r="H74" s="31" t="str">
        <f t="shared" si="3"/>
        <v/>
      </c>
    </row>
    <row r="75" spans="1:52" s="3" customFormat="1">
      <c r="A75" s="27">
        <v>5</v>
      </c>
      <c r="B75" s="32" t="s">
        <v>84</v>
      </c>
      <c r="C75" s="33" t="s">
        <v>164</v>
      </c>
      <c r="D75" s="41"/>
      <c r="E75" s="41"/>
      <c r="F75" s="41"/>
      <c r="G75" s="30">
        <f t="shared" si="2"/>
        <v>0</v>
      </c>
      <c r="H75" s="31" t="str">
        <f t="shared" si="3"/>
        <v/>
      </c>
    </row>
    <row r="76" spans="1:52" s="3" customFormat="1" ht="31.5">
      <c r="A76" s="26"/>
      <c r="B76" s="32" t="s">
        <v>85</v>
      </c>
      <c r="C76" s="37" t="s">
        <v>125</v>
      </c>
      <c r="D76" s="40"/>
      <c r="E76" s="40"/>
      <c r="F76" s="40"/>
      <c r="G76" s="30">
        <f t="shared" si="2"/>
        <v>0</v>
      </c>
      <c r="H76" s="31" t="str">
        <f t="shared" si="3"/>
        <v/>
      </c>
    </row>
    <row r="77" spans="1:52" s="3" customFormat="1">
      <c r="A77" s="27">
        <v>6</v>
      </c>
      <c r="B77" s="32" t="s">
        <v>148</v>
      </c>
      <c r="C77" s="33" t="s">
        <v>126</v>
      </c>
      <c r="D77" s="40"/>
      <c r="E77" s="40"/>
      <c r="F77" s="40"/>
      <c r="G77" s="30">
        <f t="shared" ref="G77:G86" si="12">F77-E77</f>
        <v>0</v>
      </c>
      <c r="H77" s="31" t="str">
        <f t="shared" ref="H77:H86" si="13">IF(E77=0, "", ROUND((G77/E77)*100, 2))</f>
        <v/>
      </c>
    </row>
    <row r="78" spans="1:52" s="3" customFormat="1">
      <c r="A78" s="27">
        <v>7</v>
      </c>
      <c r="B78" s="32" t="s">
        <v>149</v>
      </c>
      <c r="C78" s="33" t="s">
        <v>127</v>
      </c>
      <c r="D78" s="40"/>
      <c r="E78" s="40"/>
      <c r="F78" s="40"/>
      <c r="G78" s="30">
        <f t="shared" si="12"/>
        <v>0</v>
      </c>
      <c r="H78" s="31" t="str">
        <f t="shared" si="13"/>
        <v/>
      </c>
    </row>
    <row r="79" spans="1:52" s="3" customFormat="1">
      <c r="A79" s="27">
        <v>8</v>
      </c>
      <c r="B79" s="32" t="s">
        <v>150</v>
      </c>
      <c r="C79" s="33" t="s">
        <v>128</v>
      </c>
      <c r="D79" s="40"/>
      <c r="E79" s="40"/>
      <c r="F79" s="40"/>
      <c r="G79" s="30">
        <f t="shared" si="12"/>
        <v>0</v>
      </c>
      <c r="H79" s="31" t="str">
        <f t="shared" si="13"/>
        <v/>
      </c>
    </row>
    <row r="80" spans="1:52" s="3" customFormat="1">
      <c r="A80" s="27">
        <v>9</v>
      </c>
      <c r="B80" s="32" t="s">
        <v>86</v>
      </c>
      <c r="C80" s="33" t="s">
        <v>129</v>
      </c>
      <c r="D80" s="40"/>
      <c r="E80" s="40"/>
      <c r="F80" s="40"/>
      <c r="G80" s="30">
        <f t="shared" si="12"/>
        <v>0</v>
      </c>
      <c r="H80" s="31" t="str">
        <f t="shared" si="13"/>
        <v/>
      </c>
    </row>
    <row r="81" spans="1:8" s="3" customFormat="1">
      <c r="A81" s="27">
        <v>10</v>
      </c>
      <c r="B81" s="32" t="s">
        <v>87</v>
      </c>
      <c r="C81" s="33" t="s">
        <v>130</v>
      </c>
      <c r="D81" s="40"/>
      <c r="E81" s="40"/>
      <c r="F81" s="40"/>
      <c r="G81" s="30">
        <f t="shared" si="12"/>
        <v>0</v>
      </c>
      <c r="H81" s="31" t="str">
        <f t="shared" si="13"/>
        <v/>
      </c>
    </row>
    <row r="82" spans="1:8" s="3" customFormat="1" ht="17.25" customHeight="1">
      <c r="A82" s="27">
        <v>11</v>
      </c>
      <c r="B82" s="32" t="s">
        <v>151</v>
      </c>
      <c r="C82" s="33" t="s">
        <v>22</v>
      </c>
      <c r="D82" s="40"/>
      <c r="E82" s="40"/>
      <c r="F82" s="40"/>
      <c r="G82" s="30">
        <f t="shared" si="12"/>
        <v>0</v>
      </c>
      <c r="H82" s="31" t="str">
        <f t="shared" si="13"/>
        <v/>
      </c>
    </row>
    <row r="83" spans="1:8" s="3" customFormat="1" ht="15.75" customHeight="1">
      <c r="A83" s="27">
        <v>12</v>
      </c>
      <c r="B83" s="32" t="s">
        <v>152</v>
      </c>
      <c r="C83" s="42" t="s">
        <v>163</v>
      </c>
      <c r="D83" s="40"/>
      <c r="E83" s="40"/>
      <c r="F83" s="40"/>
      <c r="G83" s="30">
        <f t="shared" si="12"/>
        <v>0</v>
      </c>
      <c r="H83" s="31" t="str">
        <f t="shared" si="13"/>
        <v/>
      </c>
    </row>
    <row r="84" spans="1:8" s="3" customFormat="1">
      <c r="A84" s="27">
        <v>13</v>
      </c>
      <c r="B84" s="32" t="s">
        <v>153</v>
      </c>
      <c r="C84" s="33" t="s">
        <v>27</v>
      </c>
      <c r="D84" s="41"/>
      <c r="E84" s="41"/>
      <c r="F84" s="41"/>
      <c r="G84" s="30">
        <f t="shared" si="12"/>
        <v>0</v>
      </c>
      <c r="H84" s="31" t="str">
        <f t="shared" si="13"/>
        <v/>
      </c>
    </row>
    <row r="85" spans="1:8">
      <c r="A85" s="26"/>
      <c r="B85" s="32" t="s">
        <v>154</v>
      </c>
      <c r="C85" s="37" t="s">
        <v>131</v>
      </c>
      <c r="D85" s="40"/>
      <c r="E85" s="40"/>
      <c r="F85" s="40"/>
      <c r="G85" s="30">
        <f t="shared" si="12"/>
        <v>0</v>
      </c>
      <c r="H85" s="31" t="str">
        <f t="shared" si="13"/>
        <v/>
      </c>
    </row>
    <row r="86" spans="1:8" ht="31.5">
      <c r="A86" s="27">
        <v>14</v>
      </c>
      <c r="B86" s="32" t="s">
        <v>155</v>
      </c>
      <c r="C86" s="42" t="s">
        <v>162</v>
      </c>
      <c r="D86" s="40"/>
      <c r="E86" s="40"/>
      <c r="F86" s="40"/>
      <c r="G86" s="30">
        <f t="shared" si="12"/>
        <v>0</v>
      </c>
      <c r="H86" s="31" t="str">
        <f t="shared" si="13"/>
        <v/>
      </c>
    </row>
    <row r="87" spans="1:8" ht="21" customHeight="1">
      <c r="A87" s="10"/>
      <c r="B87" s="10"/>
      <c r="C87" s="7"/>
      <c r="D87" s="7"/>
      <c r="H87" s="3"/>
    </row>
    <row r="88" spans="1:8" ht="21.75" customHeight="1">
      <c r="A88" s="10"/>
      <c r="B88" s="10"/>
      <c r="C88" s="1" t="s">
        <v>28</v>
      </c>
      <c r="H88" s="3"/>
    </row>
    <row r="89" spans="1:8" ht="36" customHeight="1">
      <c r="A89" s="8"/>
      <c r="B89" s="8"/>
      <c r="C89" s="8"/>
      <c r="D89" s="8"/>
      <c r="E89" s="45" t="s">
        <v>32</v>
      </c>
      <c r="F89" s="45"/>
      <c r="G89" s="45"/>
      <c r="H89" s="45"/>
    </row>
    <row r="90" spans="1:8" ht="33" customHeight="1">
      <c r="A90" s="6"/>
      <c r="B90" s="6"/>
      <c r="C90" s="6" t="s">
        <v>19</v>
      </c>
      <c r="D90" s="6"/>
      <c r="E90" s="46" t="s">
        <v>23</v>
      </c>
      <c r="F90" s="46"/>
      <c r="G90" s="46"/>
      <c r="H90" s="46"/>
    </row>
    <row r="91" spans="1:8" ht="37.5" customHeight="1">
      <c r="A91" s="7"/>
      <c r="B91" s="7"/>
      <c r="C91" s="7" t="s">
        <v>20</v>
      </c>
      <c r="D91" s="7"/>
      <c r="E91" s="45" t="s">
        <v>6</v>
      </c>
      <c r="F91" s="45"/>
      <c r="G91" s="45"/>
      <c r="H91" s="45"/>
    </row>
    <row r="92" spans="1:8" ht="34.5" customHeight="1">
      <c r="A92" s="2"/>
      <c r="B92" s="2"/>
      <c r="C92" s="2"/>
      <c r="D92" s="2"/>
      <c r="E92" s="2"/>
      <c r="F92" s="2"/>
      <c r="G92" s="2"/>
    </row>
    <row r="93" spans="1:8" ht="15.75" customHeight="1">
      <c r="C93" s="35" t="s">
        <v>34</v>
      </c>
      <c r="D93" s="35"/>
      <c r="E93" s="35"/>
      <c r="F93" s="35"/>
      <c r="G93" s="35"/>
      <c r="H93" s="35"/>
    </row>
    <row r="94" spans="1:8" s="3" customFormat="1" ht="23.25" customHeight="1">
      <c r="A94" s="1"/>
      <c r="B94" s="1"/>
      <c r="C94" s="35"/>
      <c r="D94" s="35"/>
      <c r="E94" s="35"/>
      <c r="F94" s="35"/>
      <c r="G94" s="35"/>
      <c r="H94" s="35"/>
    </row>
    <row r="95" spans="1:8" s="3" customFormat="1" ht="23.25" customHeight="1">
      <c r="A95" s="1"/>
      <c r="B95" s="1"/>
      <c r="C95" s="35"/>
      <c r="D95" s="35"/>
      <c r="E95" s="35"/>
      <c r="F95" s="35"/>
      <c r="G95" s="35"/>
      <c r="H95" s="35"/>
    </row>
    <row r="96" spans="1:8" s="3" customFormat="1" ht="23.25" customHeight="1">
      <c r="A96" s="1"/>
      <c r="B96" s="1"/>
      <c r="C96" s="35"/>
      <c r="D96" s="35"/>
      <c r="E96" s="35"/>
      <c r="F96" s="35"/>
      <c r="G96" s="35"/>
      <c r="H96" s="35"/>
    </row>
    <row r="97" spans="1:8" s="3" customFormat="1" ht="23.25" customHeight="1">
      <c r="A97" s="1"/>
      <c r="B97" s="1"/>
      <c r="C97" s="35"/>
      <c r="D97" s="35"/>
      <c r="E97" s="35"/>
      <c r="F97" s="35"/>
      <c r="G97" s="35"/>
      <c r="H97" s="35"/>
    </row>
    <row r="98" spans="1:8" s="3" customFormat="1" ht="23.25" customHeight="1">
      <c r="A98" s="1"/>
      <c r="B98" s="1"/>
      <c r="C98" s="35"/>
      <c r="D98" s="35"/>
      <c r="E98" s="35"/>
      <c r="F98" s="35"/>
      <c r="G98" s="35"/>
      <c r="H98" s="35"/>
    </row>
    <row r="99" spans="1:8" s="3" customFormat="1" ht="23.25" customHeight="1">
      <c r="A99" s="1"/>
      <c r="B99" s="1"/>
      <c r="C99" s="35"/>
      <c r="D99" s="35"/>
      <c r="E99" s="35"/>
      <c r="F99" s="35"/>
      <c r="G99" s="35"/>
      <c r="H99" s="35"/>
    </row>
    <row r="100" spans="1:8" s="3" customFormat="1" ht="23.25" customHeight="1">
      <c r="A100" s="1"/>
      <c r="B100" s="1"/>
      <c r="C100" s="35"/>
      <c r="D100" s="35"/>
      <c r="E100" s="35"/>
      <c r="F100" s="35"/>
      <c r="G100" s="35"/>
      <c r="H100" s="35"/>
    </row>
    <row r="101" spans="1:8" s="3" customFormat="1" ht="24" customHeight="1">
      <c r="A101" s="1"/>
      <c r="B101" s="1"/>
      <c r="C101" s="35"/>
      <c r="D101" s="35"/>
      <c r="E101" s="35"/>
      <c r="F101" s="35"/>
      <c r="G101" s="35"/>
      <c r="H101" s="35"/>
    </row>
    <row r="102" spans="1:8" s="3" customFormat="1" ht="23.25" customHeight="1">
      <c r="A102" s="1"/>
      <c r="B102" s="1"/>
      <c r="C102" s="35"/>
      <c r="D102" s="35"/>
      <c r="E102" s="35"/>
      <c r="F102" s="35"/>
      <c r="G102" s="35"/>
      <c r="H102" s="35"/>
    </row>
    <row r="103" spans="1:8" s="3" customFormat="1" ht="23.25" customHeight="1">
      <c r="A103" s="1"/>
      <c r="B103" s="1"/>
      <c r="C103" s="35"/>
      <c r="D103" s="35"/>
      <c r="E103" s="35"/>
      <c r="F103" s="35"/>
      <c r="G103" s="35"/>
      <c r="H103" s="35"/>
    </row>
    <row r="104" spans="1:8" s="3" customFormat="1" ht="23.25" customHeight="1">
      <c r="A104" s="1"/>
      <c r="B104" s="1"/>
      <c r="C104" s="35"/>
      <c r="D104" s="35"/>
      <c r="E104" s="35"/>
      <c r="F104" s="35"/>
      <c r="G104" s="35"/>
      <c r="H104" s="35"/>
    </row>
    <row r="105" spans="1:8" s="3" customFormat="1" ht="33" customHeight="1">
      <c r="A105" s="1"/>
      <c r="B105" s="1"/>
      <c r="C105" s="35"/>
      <c r="D105" s="35"/>
      <c r="E105" s="35"/>
      <c r="F105" s="35"/>
      <c r="G105" s="35"/>
      <c r="H105" s="35"/>
    </row>
    <row r="106" spans="1:8" s="3" customFormat="1" ht="23.25" customHeight="1">
      <c r="A106" s="1"/>
      <c r="B106" s="1"/>
      <c r="C106" s="35"/>
      <c r="D106" s="35"/>
      <c r="E106" s="35"/>
      <c r="F106" s="35"/>
      <c r="G106" s="35"/>
      <c r="H106" s="35"/>
    </row>
    <row r="107" spans="1:8" s="3" customFormat="1" ht="23.25" customHeight="1">
      <c r="A107" s="1"/>
      <c r="B107" s="1"/>
      <c r="C107" s="35"/>
      <c r="D107" s="35"/>
      <c r="E107" s="35"/>
      <c r="F107" s="35"/>
      <c r="G107" s="35"/>
      <c r="H107" s="35"/>
    </row>
    <row r="108" spans="1:8" s="3" customFormat="1" ht="19.5" customHeight="1">
      <c r="A108" s="1"/>
      <c r="B108" s="1"/>
      <c r="C108" s="35"/>
      <c r="D108" s="35"/>
      <c r="E108" s="35"/>
      <c r="F108" s="35"/>
      <c r="G108" s="35"/>
      <c r="H108" s="35"/>
    </row>
    <row r="109" spans="1:8" s="3" customFormat="1" ht="23.25" customHeight="1">
      <c r="A109" s="1"/>
      <c r="B109" s="1"/>
      <c r="C109" s="35"/>
      <c r="D109" s="35"/>
      <c r="E109" s="35"/>
      <c r="F109" s="35"/>
      <c r="G109" s="35"/>
      <c r="H109" s="35"/>
    </row>
    <row r="110" spans="1:8" s="3" customFormat="1" ht="27" customHeight="1">
      <c r="A110" s="1"/>
      <c r="B110" s="1"/>
      <c r="C110" s="35"/>
      <c r="D110" s="35"/>
      <c r="E110" s="35"/>
      <c r="F110" s="35"/>
      <c r="G110" s="35"/>
      <c r="H110" s="35"/>
    </row>
    <row r="111" spans="1:8" s="3" customFormat="1" ht="30" customHeight="1">
      <c r="A111" s="1"/>
      <c r="B111" s="1"/>
      <c r="C111" s="35"/>
      <c r="D111" s="35"/>
      <c r="E111" s="35"/>
      <c r="F111" s="35"/>
      <c r="G111" s="35"/>
      <c r="H111" s="35"/>
    </row>
    <row r="112" spans="1:8" ht="25.5" customHeight="1">
      <c r="C112" s="35"/>
      <c r="D112" s="35"/>
      <c r="E112" s="35"/>
      <c r="F112" s="35"/>
      <c r="G112" s="35"/>
      <c r="H112" s="35"/>
    </row>
    <row r="113" spans="3:8">
      <c r="C113" s="35"/>
      <c r="D113" s="35"/>
      <c r="E113" s="35"/>
      <c r="F113" s="35"/>
      <c r="G113" s="35"/>
      <c r="H113" s="35"/>
    </row>
    <row r="114" spans="3:8" ht="23.25" customHeight="1">
      <c r="C114" s="35"/>
      <c r="D114" s="35"/>
      <c r="E114" s="35"/>
      <c r="F114" s="35"/>
      <c r="G114" s="35"/>
      <c r="H114" s="35"/>
    </row>
    <row r="115" spans="3:8" ht="23.25" customHeight="1">
      <c r="C115" s="35"/>
      <c r="D115" s="35"/>
      <c r="E115" s="35"/>
      <c r="F115" s="35"/>
      <c r="G115" s="35"/>
      <c r="H115" s="35"/>
    </row>
    <row r="116" spans="3:8" ht="12" customHeight="1">
      <c r="C116" s="35"/>
      <c r="D116" s="35"/>
      <c r="E116" s="35"/>
      <c r="F116" s="35"/>
      <c r="G116" s="35"/>
      <c r="H116" s="35"/>
    </row>
    <row r="117" spans="3:8" ht="12" customHeight="1">
      <c r="C117" s="35"/>
      <c r="D117" s="35"/>
      <c r="E117" s="35"/>
      <c r="F117" s="35"/>
      <c r="G117" s="35"/>
      <c r="H117" s="35"/>
    </row>
    <row r="118" spans="3:8">
      <c r="C118" s="35"/>
      <c r="D118" s="35"/>
      <c r="E118" s="35"/>
      <c r="F118" s="35"/>
      <c r="G118" s="35"/>
      <c r="H118" s="35"/>
    </row>
    <row r="119" spans="3:8" ht="19.5" customHeight="1">
      <c r="C119" s="35"/>
      <c r="D119" s="35"/>
      <c r="E119" s="35"/>
      <c r="F119" s="35"/>
      <c r="G119" s="35"/>
      <c r="H119" s="35"/>
    </row>
    <row r="120" spans="3:8">
      <c r="C120" s="35"/>
      <c r="D120" s="35"/>
      <c r="E120" s="35"/>
      <c r="F120" s="35"/>
      <c r="G120" s="35"/>
      <c r="H120" s="35"/>
    </row>
    <row r="121" spans="3:8" ht="18" customHeight="1">
      <c r="C121" s="35"/>
      <c r="D121" s="35"/>
      <c r="E121" s="35"/>
      <c r="F121" s="35"/>
      <c r="G121" s="35"/>
      <c r="H121" s="35"/>
    </row>
    <row r="122" spans="3:8" ht="321.75" customHeight="1">
      <c r="C122" s="35"/>
      <c r="D122" s="35"/>
      <c r="E122" s="35"/>
      <c r="F122" s="35"/>
      <c r="G122" s="35"/>
      <c r="H122" s="35"/>
    </row>
    <row r="124" spans="3:8" ht="32.25" customHeight="1"/>
    <row r="125" spans="3:8" ht="18.75" customHeight="1"/>
  </sheetData>
  <sheetProtection algorithmName="SHA-512" hashValue="c/Fz4SftqXzTAe7x2cbHFUdk5Fjb5QRB8+DtF7v709Oh+w0YtS4QlksUY4kuI9EWK5Pkp4uyjoeWpW3SQ7jk8g==" saltValue="q4mwtKBnPfzKAOqa1Gi/1Q==" spinCount="100000" sheet="1" objects="1" scenarios="1"/>
  <mergeCells count="20">
    <mergeCell ref="E2:H2"/>
    <mergeCell ref="D3:H3"/>
    <mergeCell ref="E4:H4"/>
    <mergeCell ref="A5:H5"/>
    <mergeCell ref="F6:H6"/>
    <mergeCell ref="H9:H10"/>
    <mergeCell ref="E89:H89"/>
    <mergeCell ref="E90:H90"/>
    <mergeCell ref="E91:H91"/>
    <mergeCell ref="A34:A35"/>
    <mergeCell ref="A62:A63"/>
    <mergeCell ref="A7:A10"/>
    <mergeCell ref="C7:C10"/>
    <mergeCell ref="D7:D10"/>
    <mergeCell ref="E7:E10"/>
    <mergeCell ref="F7:H7"/>
    <mergeCell ref="B7:B10"/>
    <mergeCell ref="F8:F10"/>
    <mergeCell ref="G8:H8"/>
    <mergeCell ref="G9:G10"/>
  </mergeCells>
  <printOptions horizontalCentered="1"/>
  <pageMargins left="3.937007874015748E-2" right="3.937007874015748E-2" top="0.38" bottom="0.38" header="3.937007874015748E-2" footer="0.3"/>
  <pageSetup paperSize="9" scale="66"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02 -2023</vt:lpstr>
      <vt:lpstr>'BIEU 02 -2023'!Print_Area</vt:lpstr>
      <vt:lpstr>'BIEU 02 -2023'!Print_Titles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DucAnh</cp:lastModifiedBy>
  <cp:lastPrinted>2022-06-29T02:16:44Z</cp:lastPrinted>
  <dcterms:created xsi:type="dcterms:W3CDTF">2010-06-29T03:51:48Z</dcterms:created>
  <dcterms:modified xsi:type="dcterms:W3CDTF">2024-06-15T03:15:33Z</dcterms:modified>
</cp:coreProperties>
</file>
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Project\IMS_REPORTS\IMS_REPORTS\web\EXCEL_TEMPLATE\KHNV\"/>
    </mc:Choice>
  </mc:AlternateContent>
  <bookViews>
    <workbookView xWindow="-120" yWindow="-120" windowWidth="20736" windowHeight="11280"/>
  </bookViews>
  <sheets>
    <sheet name="Biểu số 11" sheetId="1" r:id="rId1"/>
  </sheets>
  <definedNames>
    <definedName name="_Fill" localSheetId="0">#REF!</definedName>
    <definedName name="_Fill">#REF!</definedName>
    <definedName name="A" localSheetId="0">#REF!</definedName>
    <definedName name="A">#REF!</definedName>
    <definedName name="AAA" localSheetId="0">#REF!</definedName>
    <definedName name="AAA">#REF!</definedName>
    <definedName name="B" localSheetId="0">#REF!</definedName>
    <definedName name="B">#REF!</definedName>
    <definedName name="COAT" localSheetId="0">#REF!</definedName>
    <definedName name="COAT">#REF!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XS" localSheetId="0">#REF!</definedName>
    <definedName name="CS_XXS">#REF!</definedName>
    <definedName name="data" localSheetId="0">#REF!</definedName>
    <definedName name="data">#REF!</definedName>
    <definedName name="FP" localSheetId="0">#REF!</definedName>
    <definedName name="FP">#REF!</definedName>
    <definedName name="IO" localSheetId="0">#REF!</definedName>
    <definedName name="IO">#REF!</definedName>
    <definedName name="MAT" localSheetId="0">#REF!</definedName>
    <definedName name="MAT">#REF!</definedName>
    <definedName name="MF" localSheetId="0">#REF!</definedName>
    <definedName name="MF">#REF!</definedName>
    <definedName name="P" localSheetId="0">#REF!</definedName>
    <definedName name="P">#REF!</definedName>
    <definedName name="PEJM" localSheetId="0">#REF!</definedName>
    <definedName name="PEJM">#REF!</definedName>
    <definedName name="PF" localSheetId="0">#REF!</definedName>
    <definedName name="PF">#REF!</definedName>
    <definedName name="RT" localSheetId="0">#REF!</definedName>
    <definedName name="RT">#REF!</definedName>
    <definedName name="Sheet1" localSheetId="0">#REF!</definedName>
    <definedName name="Sheet1">#REF!</definedName>
    <definedName name="SORT" localSheetId="0">#REF!</definedName>
    <definedName name="SORT">#REF!</definedName>
    <definedName name="SP" localSheetId="0">#REF!</definedName>
    <definedName name="SP">#REF!</definedName>
    <definedName name="Thang7" localSheetId="0">#REF!</definedName>
    <definedName name="Thang7">#REF!</definedName>
    <definedName name="THK" localSheetId="0">#REF!</definedName>
    <definedName name="THK">#REF!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uri="GoogleSheetsCustomDataVersion1">
      <go:sheetsCustomData xmlns:go="http://customooxmlschemas.google.com/" r:id="rId11" roundtripDataSignature="AMtx7mjzD9JZIU4eAbjT1VfXpnyhyM3w0A=="/>
    </ext>
  </extLst>
</workbook>
</file>

<file path=xl/calcChain.xml><?xml version="1.0" encoding="utf-8"?>
<calcChain xmlns="http://schemas.openxmlformats.org/spreadsheetml/2006/main">
  <c r="G92" i="1" l="1"/>
  <c r="G91" i="1"/>
  <c r="G89" i="1"/>
  <c r="G88" i="1"/>
  <c r="G87" i="1"/>
  <c r="G86" i="1"/>
  <c r="G85" i="1"/>
  <c r="G84" i="1"/>
  <c r="G83" i="1"/>
  <c r="G82" i="1"/>
  <c r="G81" i="1"/>
  <c r="G80" i="1"/>
  <c r="G79" i="1"/>
  <c r="G78" i="1"/>
  <c r="G77" i="1"/>
  <c r="G76" i="1"/>
  <c r="G75" i="1"/>
  <c r="G74" i="1"/>
  <c r="G73" i="1"/>
  <c r="G72" i="1"/>
  <c r="G71" i="1"/>
  <c r="G70" i="1"/>
  <c r="G69" i="1"/>
  <c r="G68" i="1"/>
  <c r="G67" i="1"/>
  <c r="G66" i="1"/>
  <c r="G65" i="1"/>
  <c r="G64" i="1"/>
  <c r="G62" i="1"/>
  <c r="G61" i="1"/>
  <c r="G60" i="1"/>
  <c r="G59" i="1"/>
  <c r="G58" i="1"/>
  <c r="G57" i="1"/>
  <c r="G56" i="1"/>
  <c r="G55" i="1"/>
  <c r="G53" i="1"/>
  <c r="G52" i="1"/>
  <c r="G51" i="1"/>
  <c r="G50" i="1"/>
  <c r="G49" i="1"/>
  <c r="G48" i="1"/>
  <c r="G47" i="1"/>
  <c r="G46" i="1"/>
  <c r="G45" i="1"/>
  <c r="G44" i="1"/>
  <c r="G43" i="1"/>
  <c r="G42" i="1"/>
  <c r="G41" i="1"/>
  <c r="G40" i="1"/>
  <c r="G39" i="1"/>
  <c r="G38" i="1"/>
  <c r="G37" i="1"/>
  <c r="G36" i="1"/>
  <c r="G35" i="1"/>
  <c r="G34" i="1"/>
  <c r="G33" i="1"/>
  <c r="G32" i="1"/>
  <c r="G31" i="1"/>
  <c r="G30" i="1"/>
  <c r="G29" i="1"/>
  <c r="G28" i="1"/>
  <c r="G27" i="1"/>
  <c r="G24" i="1"/>
  <c r="G23" i="1"/>
  <c r="G21" i="1"/>
  <c r="G20" i="1"/>
  <c r="G19" i="1"/>
  <c r="G18" i="1"/>
  <c r="G17" i="1"/>
  <c r="H92" i="1" l="1"/>
  <c r="H91" i="1"/>
  <c r="H89" i="1"/>
  <c r="H88" i="1"/>
  <c r="H87" i="1"/>
  <c r="H86" i="1"/>
  <c r="H85" i="1"/>
  <c r="H84" i="1"/>
  <c r="H83" i="1"/>
  <c r="H82" i="1"/>
  <c r="H81" i="1"/>
  <c r="H80" i="1"/>
  <c r="H79" i="1"/>
  <c r="H78" i="1"/>
  <c r="H77" i="1"/>
  <c r="H76" i="1"/>
  <c r="H75" i="1"/>
  <c r="H74" i="1"/>
  <c r="H73" i="1"/>
  <c r="H72" i="1"/>
  <c r="H71" i="1"/>
  <c r="H70" i="1"/>
  <c r="H69" i="1"/>
  <c r="H68" i="1"/>
  <c r="H67" i="1"/>
  <c r="H66" i="1"/>
  <c r="H65" i="1"/>
  <c r="H64" i="1"/>
  <c r="H62" i="1"/>
  <c r="H61" i="1"/>
  <c r="H60" i="1"/>
  <c r="H59" i="1"/>
  <c r="H58" i="1"/>
  <c r="H57" i="1"/>
  <c r="H56" i="1"/>
  <c r="H55" i="1"/>
  <c r="H53" i="1"/>
  <c r="H52" i="1"/>
  <c r="H51" i="1"/>
  <c r="H50" i="1"/>
  <c r="H49" i="1"/>
  <c r="H48" i="1"/>
  <c r="H47" i="1"/>
  <c r="H46" i="1"/>
  <c r="H45" i="1"/>
  <c r="H44" i="1"/>
  <c r="H43" i="1"/>
  <c r="H42" i="1"/>
  <c r="H41" i="1"/>
  <c r="H40" i="1"/>
  <c r="H39" i="1"/>
  <c r="H38" i="1"/>
  <c r="H37" i="1"/>
  <c r="H36" i="1"/>
  <c r="H35" i="1"/>
  <c r="H34" i="1"/>
  <c r="H33" i="1"/>
  <c r="H32" i="1"/>
  <c r="H31" i="1"/>
  <c r="H30" i="1"/>
  <c r="H29" i="1"/>
  <c r="H28" i="1"/>
  <c r="H27" i="1"/>
  <c r="H24" i="1"/>
  <c r="H23" i="1"/>
  <c r="H21" i="1"/>
  <c r="H20" i="1"/>
  <c r="H19" i="1"/>
  <c r="H18" i="1"/>
  <c r="H17" i="1"/>
  <c r="F90" i="1" l="1"/>
  <c r="E90" i="1"/>
  <c r="D90" i="1"/>
  <c r="C88" i="1"/>
  <c r="C87" i="1"/>
  <c r="C84" i="1"/>
  <c r="C83" i="1"/>
  <c r="C82" i="1"/>
  <c r="C81" i="1"/>
  <c r="C80" i="1"/>
  <c r="C79" i="1"/>
  <c r="C74" i="1"/>
  <c r="C72" i="1"/>
  <c r="C69" i="1"/>
  <c r="C66" i="1"/>
  <c r="C64" i="1"/>
  <c r="F63" i="1"/>
  <c r="E63" i="1"/>
  <c r="D63" i="1"/>
  <c r="F54" i="1"/>
  <c r="F26" i="1" s="1"/>
  <c r="E54" i="1"/>
  <c r="E26" i="1" s="1"/>
  <c r="D54" i="1"/>
  <c r="F22" i="1"/>
  <c r="E22" i="1"/>
  <c r="D22" i="1"/>
  <c r="G22" i="1" s="1"/>
  <c r="H22" i="1" s="1"/>
  <c r="F16" i="1"/>
  <c r="E16" i="1"/>
  <c r="D16" i="1"/>
  <c r="G16" i="1" l="1"/>
  <c r="H16" i="1" s="1"/>
  <c r="D26" i="1"/>
  <c r="G54" i="1"/>
  <c r="H54" i="1" s="1"/>
  <c r="G90" i="1"/>
  <c r="H90" i="1" s="1"/>
  <c r="G63" i="1"/>
  <c r="H63" i="1" s="1"/>
  <c r="G26" i="1"/>
  <c r="H26" i="1" s="1"/>
  <c r="E25" i="1"/>
  <c r="E15" i="1" s="1"/>
  <c r="E14" i="1" s="1"/>
  <c r="E13" i="1" s="1"/>
  <c r="D25" i="1"/>
  <c r="F25" i="1"/>
  <c r="D15" i="1" l="1"/>
  <c r="G25" i="1"/>
  <c r="H25" i="1" s="1"/>
  <c r="F15" i="1"/>
  <c r="D14" i="1" l="1"/>
  <c r="G15" i="1"/>
  <c r="H15" i="1" s="1"/>
  <c r="F14" i="1"/>
  <c r="D13" i="1" l="1"/>
  <c r="G14" i="1"/>
  <c r="H14" i="1" s="1"/>
  <c r="F13" i="1"/>
  <c r="G13" i="1" l="1"/>
  <c r="H13" i="1" s="1"/>
</calcChain>
</file>

<file path=xl/sharedStrings.xml><?xml version="1.0" encoding="utf-8"?>
<sst xmlns="http://schemas.openxmlformats.org/spreadsheetml/2006/main" count="210" uniqueCount="196">
  <si>
    <t>Biểu số: 11/NHCS-KH</t>
  </si>
  <si>
    <t xml:space="preserve">         NGÂN HÀNG </t>
  </si>
  <si>
    <t>CỘNG HOÀ XÃ HỘI CHỦ NGHĨA VIỆT NAM</t>
  </si>
  <si>
    <t>CHÍNH SÁCH XÃ HỘI</t>
  </si>
  <si>
    <r>
      <rPr>
        <b/>
        <sz val="13"/>
        <color theme="1"/>
        <rFont val="Times New Roman"/>
        <family val="1"/>
        <charset val="163"/>
      </rPr>
      <t xml:space="preserve">Độc </t>
    </r>
    <r>
      <rPr>
        <b/>
        <u/>
        <sz val="13"/>
        <color theme="1"/>
        <rFont val="Times New Roman"/>
        <family val="1"/>
        <charset val="163"/>
      </rPr>
      <t>lập - Tự do - Hạnh</t>
    </r>
    <r>
      <rPr>
        <b/>
        <sz val="13"/>
        <color theme="1"/>
        <rFont val="Times New Roman"/>
        <family val="1"/>
        <charset val="163"/>
      </rPr>
      <t xml:space="preserve"> phúc</t>
    </r>
  </si>
  <si>
    <t>Chi nhánh (PGD huyện): ...................</t>
  </si>
  <si>
    <t>BÁO CÁO</t>
  </si>
  <si>
    <t>KẾT QUẢ THỰC HIỆN  KẾ HOẠCH TÍN DỤNG NĂM 2021</t>
  </si>
  <si>
    <t>Đơn vị: Triệu đồng, hộ, người</t>
  </si>
  <si>
    <t>STT</t>
  </si>
  <si>
    <t>CHỈ TIÊU</t>
  </si>
  <si>
    <t>Số thực hiện đến 31/12/2020</t>
  </si>
  <si>
    <t>Năm báo cáo</t>
  </si>
  <si>
    <t>Tăng/giảm so với năm 2020</t>
  </si>
  <si>
    <t>Tỷ lệ 
hoàn thành 
kế hoạch giao tăng trưởng (%)</t>
  </si>
  <si>
    <t>Kế hoạch giao tăng trưởng năm 2021</t>
  </si>
  <si>
    <t>Số thực hiện đến 31/12/2021</t>
  </si>
  <si>
    <t xml:space="preserve"> </t>
  </si>
  <si>
    <t>6=5-3</t>
  </si>
  <si>
    <t>7=6/4</t>
  </si>
  <si>
    <t>I</t>
  </si>
  <si>
    <t>NGUỒN VỐN</t>
  </si>
  <si>
    <t>KH0001</t>
  </si>
  <si>
    <t>A</t>
  </si>
  <si>
    <t>NGUỒN VỐN CÂN ĐỐI TỪ TRUNG ƯƠNG</t>
  </si>
  <si>
    <t>KH0002</t>
  </si>
  <si>
    <t>Nguồn vốn cân đối chuyển từ Trung ương</t>
  </si>
  <si>
    <t>KH0003</t>
  </si>
  <si>
    <t>Nguồn vốn huy động tại địa phương được TW cấp bù lãi suất</t>
  </si>
  <si>
    <t>KH0004</t>
  </si>
  <si>
    <t>Tiền gửi của tổ chức, cá nhân</t>
  </si>
  <si>
    <t>KH0005</t>
  </si>
  <si>
    <t>Trong đó</t>
  </si>
  <si>
    <t xml:space="preserve">Tiền gửi tại Điểm giao dịch xã </t>
  </si>
  <si>
    <t>KH0006</t>
  </si>
  <si>
    <t>Tiền gửi ký quỹ đi lao động tại Hàn Quốc</t>
  </si>
  <si>
    <t>KH0007</t>
  </si>
  <si>
    <t>Tiền gửi tiết kiệm khi vay vốn nhà ở xã hội theo Nghị định 100/2015/NĐ-CP</t>
  </si>
  <si>
    <t>KH0008</t>
  </si>
  <si>
    <t>Tiền gửi của Tổ viên Tổ Tiết kiệm và vay vốn</t>
  </si>
  <si>
    <t>KH0009</t>
  </si>
  <si>
    <t>B</t>
  </si>
  <si>
    <t>NGUỒN VỐN NHẬN ỦY THÁC ĐẦU TƯ TẠI ĐỊA PHƯƠNG</t>
  </si>
  <si>
    <t>KH0010</t>
  </si>
  <si>
    <t xml:space="preserve">Nguồn vốn nhận ủy thác từ ngân sách địa phương </t>
  </si>
  <si>
    <t>KH0011</t>
  </si>
  <si>
    <t>Nguồn vốn nhận ủy thác của các chủ đầu tư khác</t>
  </si>
  <si>
    <t>KH0012</t>
  </si>
  <si>
    <t>II</t>
  </si>
  <si>
    <t>SỬ DỤNG VỐN</t>
  </si>
  <si>
    <t>KH0013</t>
  </si>
  <si>
    <t>DƯ NỢ NGUỒN VỐN TRUNG ƯƠNG</t>
  </si>
  <si>
    <t>KH0014</t>
  </si>
  <si>
    <t>Cho vay hộ nghèo theo Nghị định số 78/2002/NĐ-CP</t>
  </si>
  <si>
    <t>KH0015</t>
  </si>
  <si>
    <t>Cho vay hộ cận nghèo theo QĐ 15/2013/QĐ-TTg</t>
  </si>
  <si>
    <t>KH0016</t>
  </si>
  <si>
    <t>Cho vay hộ mới thoát nghèo theo Quyết định số 28/2015/QĐ-TTg</t>
  </si>
  <si>
    <t>KH0017</t>
  </si>
  <si>
    <t>Cho vay học sinh, sinh viên theo QĐ 157/2007/QĐ-TTg</t>
  </si>
  <si>
    <t>KH0018</t>
  </si>
  <si>
    <t>Cho vay hỗ trợ tạo việc làm, duy trì và mở rộng việc làm từ nguồn vốn Quỹ quốc gia về việc làm (NĐ số 61/2015/NĐ-CP; NĐ số 74/2019/NĐ-CP)</t>
  </si>
  <si>
    <t>KH0019</t>
  </si>
  <si>
    <t>Cho vay hỗ trợ tạo việc làm, duy trì và mở rộng việc làm từ nguồn vốn NHCSXH huy động (NĐ số 61/2015/NĐ-CP; NĐ 74/2019/NĐ-CP)</t>
  </si>
  <si>
    <t>KH0020</t>
  </si>
  <si>
    <t>Cho vay người lao động đi làm việc ở nước ngoài theo Quyết định số 365/QĐ-NHNN, Quyết định số 1465/QĐ-TTg, Quyết định số 63/2015/QĐ-TTg và Nghị định số 61/2015/NĐ-CP</t>
  </si>
  <si>
    <t>KH0021</t>
  </si>
  <si>
    <t>Cho vay để ký quỹ đối với người LĐ đi làm việc tại Hàn Quốc</t>
  </si>
  <si>
    <t>KH0022</t>
  </si>
  <si>
    <t>Cho vay Xuất khẩu lao động tại huyện nghèo (QĐ 71/2009/QĐ-TTg)</t>
  </si>
  <si>
    <t>KH0023</t>
  </si>
  <si>
    <t>Cho vay Chương trình NS&amp;VSMT nông thôn (QĐ 62/2004/QĐ-TTg)</t>
  </si>
  <si>
    <t>KH0024</t>
  </si>
  <si>
    <t>Cho vay hộ gia đình SXKD tại VKK (QĐ 31/2007/QĐ-TTg)</t>
  </si>
  <si>
    <t>KH0025</t>
  </si>
  <si>
    <t>Cho vay mua trả chậm nhà ở vùng ĐBSCL và Tây Nguyên</t>
  </si>
  <si>
    <t>KH0026</t>
  </si>
  <si>
    <t>Cho vay xây dựng cụm tuyến dân cư và nhà ở vùng ngập lũ ĐBSCL giai đoạn 2018-2020 (QĐ 714/QĐ-TTg)</t>
  </si>
  <si>
    <t>KH0027</t>
  </si>
  <si>
    <t>Cho vay hộ đồng bào DTTS ĐBKK theo QĐ 32, 54/2012/QĐ-TTg</t>
  </si>
  <si>
    <t>KH0028</t>
  </si>
  <si>
    <t>Cho vay đồng bào DTTS - ĐBSCL theo QĐ 74, 29/2013/QĐ-TTg</t>
  </si>
  <si>
    <t>KH0029</t>
  </si>
  <si>
    <t>Cho vay đồng bào DTTS theo QĐ 755/QĐ-TTg</t>
  </si>
  <si>
    <t>KH0030</t>
  </si>
  <si>
    <t>Cho vay hỗ trợ hộ nghèo về nhà ở (QĐ 167/2008/QĐ-TTg)</t>
  </si>
  <si>
    <t>KH0031</t>
  </si>
  <si>
    <t xml:space="preserve">Cho vay hỗ trợ hộ nghèo về nhà ở theo QĐ 33/2015/QĐ-TTg </t>
  </si>
  <si>
    <t>KH0032</t>
  </si>
  <si>
    <t>Cho vay thương nhân tại VKK (QĐ 92/2009/QĐ-TTg)</t>
  </si>
  <si>
    <t>KH0033</t>
  </si>
  <si>
    <t xml:space="preserve">Cho vay hỗ trợ hộ nghèo xây dựng nhà ở phòng, tránh bão, lụt khu vực miền Trung theo QĐ 716, 48/2014/QĐ-TTg </t>
  </si>
  <si>
    <t>KH0034</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</si>
  <si>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</si>
  <si>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KH0035</t>
  </si>
  <si>
    <t>Cho vay nhà ở xã hội theo NĐ 100/2015/NĐ-CP</t>
  </si>
  <si>
    <t>KH0036</t>
  </si>
  <si>
    <t>Trong đó: nhà ở công nhân trong khu công nghiệp</t>
  </si>
  <si>
    <t>KH0037</t>
  </si>
  <si>
    <t>Cho vay trả lương ngừng việc theo QĐ15</t>
  </si>
  <si>
    <t>KH0038</t>
  </si>
  <si>
    <t>Cho vay hỗ trợ người sử dụng lao động vay vốn trả lương theo QĐ 23/2021/QĐ-TTg</t>
  </si>
  <si>
    <t>KH0039</t>
  </si>
  <si>
    <t xml:space="preserve">Cho vay trồng rừng sản xuất, phát triển chăn nuôi theo NĐ 75/2015/NĐ-CP </t>
  </si>
  <si>
    <t>KH0040</t>
  </si>
  <si>
    <t>Cho vay hỗ trợ phát triển kinh tế - xã hội vùng dân tộc thiểu số và miền núi giai đoạn 2017 - 2020 theo Quyết định số 2085/QĐ-TTg</t>
  </si>
  <si>
    <t>KH0041</t>
  </si>
  <si>
    <t>Cho vay một số dự án vốn nước ngoài khác</t>
  </si>
  <si>
    <t>KH0042</t>
  </si>
  <si>
    <t xml:space="preserve">- Cho vay dự án IFAD </t>
  </si>
  <si>
    <t>KH0043</t>
  </si>
  <si>
    <t>- Cho vay dự án RIDP</t>
  </si>
  <si>
    <t>KH0044</t>
  </si>
  <si>
    <t xml:space="preserve"> - Cho vay Phát triển DN vừa và nhỏ (Dự án KFW)</t>
  </si>
  <si>
    <t>KH0045</t>
  </si>
  <si>
    <t xml:space="preserve"> - Cho vay Phát triển ngành Lâm nghiệp (Dự án FSDP)</t>
  </si>
  <si>
    <t>KH0046</t>
  </si>
  <si>
    <t>- Cho vay dự án HIV/AIDS</t>
  </si>
  <si>
    <t>KH0047</t>
  </si>
  <si>
    <t>- Cho vay dự án NIPPON (Mở rộng tài chính cho người khuyết tật)</t>
  </si>
  <si>
    <t>KH0048</t>
  </si>
  <si>
    <t>- Cho vay dự án CWPD</t>
  </si>
  <si>
    <t>KH0049</t>
  </si>
  <si>
    <t>Cho vay các đối tượng chính sách khác</t>
  </si>
  <si>
    <t>KH0050</t>
  </si>
  <si>
    <t>DƯ NỢ NGUỒN VỐN ĐỊA PHƯƠNG</t>
  </si>
  <si>
    <t>KH0051</t>
  </si>
  <si>
    <t>KH0052</t>
  </si>
  <si>
    <t>KH0053</t>
  </si>
  <si>
    <t>KH0054</t>
  </si>
  <si>
    <t>Cho vay HSSV theo QĐ 157/2007/QĐ-TTg</t>
  </si>
  <si>
    <t>KH0055</t>
  </si>
  <si>
    <t>Cho vay hỗ trợ tạo việc làm, duy trì và mở rộng việc làm  (NĐ số 61/2015/NĐ-CP; NĐ số 74/2019/NĐ-CP)</t>
  </si>
  <si>
    <t>KH0056</t>
  </si>
  <si>
    <t>KH0057</t>
  </si>
  <si>
    <t>KH0058</t>
  </si>
  <si>
    <t>CV XKLĐ tại huyện nghèo theo QĐ 71/2009/QĐ-TTg</t>
  </si>
  <si>
    <t>KH0059</t>
  </si>
  <si>
    <t>KH0060</t>
  </si>
  <si>
    <t>CV hộ gia đình SXKD tại VKK theo QĐ 31/2007/QĐ-TTg</t>
  </si>
  <si>
    <t>KH0061</t>
  </si>
  <si>
    <t>KH0062</t>
  </si>
  <si>
    <t>Cho vay xây dựng cụm tuyến dân cư và nhà ở vùng ngập lũ ĐBSCL giai đoạn 2018-2020
(QĐ 714/QĐ-TTg)</t>
  </si>
  <si>
    <t>KH0063</t>
  </si>
  <si>
    <t>KH0064</t>
  </si>
  <si>
    <t>KH0065</t>
  </si>
  <si>
    <t>Cho vay đồng bào DTTS theo QĐ 755/QĐ-TTg (QĐ 1592/QĐ-TTg)</t>
  </si>
  <si>
    <t>KH0066</t>
  </si>
  <si>
    <t>KH0067</t>
  </si>
  <si>
    <t>KH0068</t>
  </si>
  <si>
    <t>KH0069</t>
  </si>
  <si>
    <t>KH0070</t>
  </si>
  <si>
    <t>KH0071</t>
  </si>
  <si>
    <t>KH0072</t>
  </si>
  <si>
    <t>KH0073</t>
  </si>
  <si>
    <t>KH0074</t>
  </si>
  <si>
    <t>KH0075</t>
  </si>
  <si>
    <t>KH0076</t>
  </si>
  <si>
    <t>KH0077</t>
  </si>
  <si>
    <t>C</t>
  </si>
  <si>
    <t>QUỸ AN TOÀN CHI TRẢ</t>
  </si>
  <si>
    <t>KH0078</t>
  </si>
  <si>
    <t>Tồn quỹ tiền mặt</t>
  </si>
  <si>
    <t>KH0079</t>
  </si>
  <si>
    <t>Tiền gửi tại NHNN và TCTD</t>
  </si>
  <si>
    <t>KH0080</t>
  </si>
  <si>
    <t>III</t>
  </si>
  <si>
    <t xml:space="preserve">THUYẾT MINH MỘT SỐ CHỈ TIÊU </t>
  </si>
  <si>
    <t>KH0081</t>
  </si>
  <si>
    <t>Số lượt khách hàng được vay vốn</t>
  </si>
  <si>
    <t>KH0082</t>
  </si>
  <si>
    <t>Số hộ nghèo theo chuẩn giai đoạn (2022-2025)</t>
  </si>
  <si>
    <t>KH0083</t>
  </si>
  <si>
    <t>- Số hộ nghèo phát sinh mới qua điều tra, rà soát năm 2022 theo chuẩn giai đoạn 2022-2025</t>
  </si>
  <si>
    <t>KH0084</t>
  </si>
  <si>
    <t xml:space="preserve">Số hộ cận nghèo theo chuẩn giai đoạn (2022-2025) </t>
  </si>
  <si>
    <t>KH0085</t>
  </si>
  <si>
    <t>- Số hộ cận nghèo phát sinh mới qua điều tra, rà soát năm 2022 theo chuẩn giai đoạn 2022-2025</t>
  </si>
  <si>
    <t>KH0086</t>
  </si>
  <si>
    <t>Số hộ thoát nghèo năm 2022 (thoát nghèo, thoát cận nghèo)</t>
  </si>
  <si>
    <t>KH0087</t>
  </si>
  <si>
    <t>Số hộ gia đình ở nông thôn chưa được sử dụng nước sạch, chưa có công trình vệ sinh theo tiêu chuẩn</t>
  </si>
  <si>
    <t>KH0088</t>
  </si>
  <si>
    <t>Số hộ gia đình sản xuất kinh doanh vùng khó khăn trên địa bàn</t>
  </si>
  <si>
    <t>KH0089</t>
  </si>
  <si>
    <t>- Số xã thuộc vùng khó khăn theo quy định</t>
  </si>
  <si>
    <t>KH0090</t>
  </si>
  <si>
    <t xml:space="preserve">- Số hộ gia đình SXKD đủ điều kiện vay vốn nhưng chưa được vay vốn NHCSXH </t>
  </si>
  <si>
    <t>KH0091</t>
  </si>
  <si>
    <t>………., ngày       tháng     năm 2022</t>
  </si>
  <si>
    <t xml:space="preserve">                                LẬP BIỂU</t>
  </si>
  <si>
    <t>TP KHNVTD</t>
  </si>
  <si>
    <t>GIÁM ĐỐC</t>
  </si>
  <si>
    <t>KH0092</t>
  </si>
  <si>
    <t>trungnt</t>
  </si>
  <si>
    <t>Người lập biểu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</si>
</sst>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Arial"/>
    </font>
    <font>
      <b/>
      <sz val="12"/>
      <color theme="1"/>
      <name val="Times New Roman"/>
      <family val="1"/>
      <charset val="163"/>
    </font>
    <font>
      <sz val="10"/>
      <color theme="1"/>
      <name val="Times New Roman"/>
      <family val="1"/>
      <charset val="163"/>
    </font>
    <font>
      <b/>
      <sz val="10"/>
      <color theme="1"/>
      <name val="Times New Roman"/>
      <family val="1"/>
      <charset val="163"/>
    </font>
    <font>
      <b/>
      <sz val="13"/>
      <color theme="1"/>
      <name val="Times New Roman"/>
      <family val="1"/>
      <charset val="163"/>
    </font>
    <font>
      <b/>
      <sz val="14"/>
      <color theme="1"/>
      <name val="Times New Roman"/>
      <family val="1"/>
      <charset val="163"/>
    </font>
    <font>
      <i/>
      <sz val="11"/>
      <color theme="1"/>
      <name val="Times New Roman"/>
      <family val="1"/>
      <charset val="163"/>
    </font>
    <font>
      <sz val="11"/>
      <name val="Arial"/>
      <family val="2"/>
      <charset val="163"/>
    </font>
    <font>
      <b/>
      <i/>
      <sz val="12"/>
      <color theme="1"/>
      <name val="Times New Roman"/>
      <family val="1"/>
      <charset val="163"/>
    </font>
    <font>
      <i/>
      <sz val="10"/>
      <color theme="1"/>
      <name val="Times New Roman"/>
      <family val="1"/>
      <charset val="163"/>
    </font>
    <font>
      <b/>
      <sz val="12"/>
      <color theme="1"/>
      <name val="&quot;Times New Roman&quot;"/>
    </font>
    <font>
      <sz val="12"/>
      <color theme="1"/>
      <name val="Times New Roman"/>
      <family val="1"/>
      <charset val="163"/>
    </font>
    <font>
      <b/>
      <sz val="11"/>
      <color theme="1"/>
      <name val="Times New Roman"/>
      <family val="1"/>
      <charset val="163"/>
    </font>
    <font>
      <b/>
      <sz val="11"/>
      <color theme="1"/>
      <name val="&quot;Times New Roman&quot;"/>
    </font>
    <font>
      <sz val="11"/>
      <color theme="1"/>
      <name val="Times New Roman"/>
      <family val="1"/>
      <charset val="163"/>
    </font>
    <font>
      <sz val="12"/>
      <color theme="1"/>
      <name val="&quot;Times New Roman&quot;"/>
    </font>
    <font>
      <i/>
      <sz val="12"/>
      <color theme="1"/>
      <name val="Times New Roman"/>
      <family val="1"/>
      <charset val="163"/>
    </font>
    <font>
      <b/>
      <u/>
      <sz val="13"/>
      <color theme="1"/>
      <name val="Times New Roman"/>
      <family val="1"/>
      <charset val="163"/>
    </font>
    <font>
      <sz val="12"/>
      <color theme="1"/>
      <name val="Times New Roman"/>
      <family val="1"/>
    </font>
    <font>
      <b/>
      <i/>
      <sz val="12"/>
      <color theme="1"/>
      <name val="Times New Roman"/>
      <family val="1"/>
    </font>
    <font>
      <sz val="11"/>
      <color theme="1"/>
      <name val="Arial"/>
      <family val="2"/>
      <charset val="163"/>
    </font>
  </fonts>
  <fills count="8">
    <fill>
      <patternFill patternType="none"/>
    </fill>
    <fill>
      <patternFill patternType="gray125"/>
    </fill>
    <fill>
      <patternFill patternType="solid">
        <fgColor rgb="FFCCCCCC"/>
        <bgColor rgb="FFCCCCCC"/>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
      <patternFill patternType="solid">
        <fgColor theme="2" tint="-0.14999847407452621"/>
        <bgColor rgb="FFB7B7B7"/>
      </patternFill>
    </fill>
    <fill>
      <patternFill patternType="solid">
        <fgColor theme="2" tint="-0.249977111117893"/>
        <bgColor rgb="FFB7B7B7"/>
      </patternFill>
    </fill>
  </fills>
  <borders count="27">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9" fontId="20" fillId="0" borderId="0" applyFont="0" applyFill="0" applyBorder="0" applyAlignment="0" applyProtection="0"/>
  </cellStyleXfs>
  <cellXfs count="151">
    <xf numFmtId="0" fontId="0" fillId="0" borderId="0" xfId="0" applyFont="1" applyAlignment="1"/>
    <xf numFmtId="0" fontId="1" fillId="0" borderId="0" xfId="0" applyFont="1"/>
    <xf numFmtId="0" fontId="2" fillId="0" borderId="0" xfId="0" applyFont="1" applyAlignment="1">
      <alignment wrapText="1"/>
    </xf>
    <xf numFmtId="0" fontId="2" fillId="0" borderId="0" xfId="0" applyFont="1"/>
    <xf numFmtId="0" fontId="3" fillId="0" borderId="0" xfId="0" applyFont="1" applyAlignment="1">
      <alignment horizontal="center"/>
    </xf>
    <xf numFmtId="0" fontId="1" fillId="0" borderId="0" xfId="0" applyFont="1" applyAlignment="1">
      <alignment wrapText="1"/>
    </xf>
    <xf numFmtId="0" fontId="1"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9" fillId="0" borderId="2" xfId="0" applyFont="1" applyBorder="1" applyAlignment="1">
      <alignment horizontal="center" vertical="center" wrapText="1"/>
    </xf>
    <xf numFmtId="0" fontId="9" fillId="2" borderId="2" xfId="0" applyFont="1" applyFill="1" applyBorder="1" applyAlignment="1">
      <alignment horizontal="center" vertical="center" wrapText="1"/>
    </xf>
    <xf numFmtId="0" fontId="8" fillId="0" borderId="0" xfId="0" applyFont="1" applyAlignment="1">
      <alignment horizontal="right"/>
    </xf>
    <xf numFmtId="0" fontId="1" fillId="3" borderId="7" xfId="0" applyFont="1" applyFill="1" applyBorder="1" applyAlignment="1">
      <alignment horizontal="center" vertical="center" wrapText="1"/>
    </xf>
    <xf numFmtId="3" fontId="10" fillId="3" borderId="7" xfId="0" applyNumberFormat="1" applyFont="1" applyFill="1" applyBorder="1" applyAlignment="1">
      <alignment horizontal="right"/>
    </xf>
    <xf numFmtId="3" fontId="10" fillId="2" borderId="7" xfId="0" applyNumberFormat="1" applyFont="1" applyFill="1" applyBorder="1" applyAlignment="1">
      <alignment horizontal="right"/>
    </xf>
    <xf numFmtId="0" fontId="11" fillId="3" borderId="0" xfId="0" applyFont="1" applyFill="1" applyAlignment="1">
      <alignment horizontal="right"/>
    </xf>
    <xf numFmtId="0" fontId="11" fillId="0" borderId="0" xfId="0" applyFont="1"/>
    <xf numFmtId="0" fontId="1" fillId="3" borderId="8" xfId="0" applyFont="1" applyFill="1" applyBorder="1" applyAlignment="1">
      <alignment horizontal="center" vertical="center" wrapText="1"/>
    </xf>
    <xf numFmtId="0" fontId="12" fillId="3" borderId="9" xfId="0" applyFont="1" applyFill="1" applyBorder="1" applyAlignment="1">
      <alignment horizontal="left" vertical="center"/>
    </xf>
    <xf numFmtId="3" fontId="13" fillId="3" borderId="5" xfId="0" applyNumberFormat="1" applyFont="1" applyFill="1" applyBorder="1" applyAlignment="1">
      <alignment horizontal="right"/>
    </xf>
    <xf numFmtId="3" fontId="13" fillId="3" borderId="10" xfId="0" applyNumberFormat="1" applyFont="1" applyFill="1" applyBorder="1" applyAlignment="1">
      <alignment horizontal="right"/>
    </xf>
    <xf numFmtId="3" fontId="13" fillId="2" borderId="10" xfId="0" applyNumberFormat="1" applyFont="1" applyFill="1" applyBorder="1" applyAlignment="1">
      <alignment horizontal="right"/>
    </xf>
    <xf numFmtId="3" fontId="15" fillId="2" borderId="10" xfId="0" applyNumberFormat="1" applyFont="1" applyFill="1" applyBorder="1" applyAlignment="1">
      <alignment horizontal="right"/>
    </xf>
    <xf numFmtId="0" fontId="2" fillId="4" borderId="11" xfId="0" applyFont="1" applyFill="1" applyBorder="1" applyAlignment="1">
      <alignment horizontal="center" vertical="center"/>
    </xf>
    <xf numFmtId="0" fontId="11" fillId="4" borderId="11" xfId="0" applyFont="1" applyFill="1" applyBorder="1" applyAlignment="1">
      <alignment horizontal="left" vertical="center" wrapText="1"/>
    </xf>
    <xf numFmtId="0" fontId="6" fillId="0" borderId="11" xfId="0" applyFont="1" applyBorder="1" applyAlignment="1">
      <alignment horizontal="left" vertical="center"/>
    </xf>
    <xf numFmtId="0" fontId="16" fillId="0" borderId="11" xfId="0" applyFont="1" applyBorder="1" applyAlignment="1">
      <alignment horizontal="left" vertical="center" wrapText="1"/>
    </xf>
    <xf numFmtId="0" fontId="2" fillId="0" borderId="11" xfId="0" applyFont="1" applyBorder="1" applyAlignment="1">
      <alignment horizontal="center" vertical="center"/>
    </xf>
    <xf numFmtId="0" fontId="16" fillId="0" borderId="11" xfId="0" applyFont="1" applyBorder="1" applyAlignment="1">
      <alignment vertical="center" wrapText="1"/>
    </xf>
    <xf numFmtId="0" fontId="11" fillId="0" borderId="11" xfId="0" applyFont="1" applyBorder="1" applyAlignment="1">
      <alignment vertical="center"/>
    </xf>
    <xf numFmtId="0" fontId="12" fillId="3" borderId="12" xfId="0" applyFont="1" applyFill="1" applyBorder="1" applyAlignment="1">
      <alignment horizontal="center" vertical="center"/>
    </xf>
    <xf numFmtId="0" fontId="12" fillId="3" borderId="12" xfId="0" applyFont="1" applyFill="1" applyBorder="1" applyAlignment="1">
      <alignment horizontal="left" vertical="center"/>
    </xf>
    <xf numFmtId="3" fontId="13" fillId="2" borderId="5" xfId="0" applyNumberFormat="1" applyFont="1" applyFill="1" applyBorder="1" applyAlignment="1">
      <alignment horizontal="right"/>
    </xf>
    <xf numFmtId="0" fontId="6" fillId="0" borderId="12" xfId="0" applyFont="1" applyBorder="1" applyAlignment="1">
      <alignment vertical="center"/>
    </xf>
    <xf numFmtId="0" fontId="16" fillId="0" borderId="11" xfId="0" applyFont="1" applyBorder="1"/>
    <xf numFmtId="3" fontId="15" fillId="2" borderId="10" xfId="0" applyNumberFormat="1" applyFont="1" applyFill="1" applyBorder="1" applyAlignment="1">
      <alignment horizontal="right"/>
    </xf>
    <xf numFmtId="0" fontId="6" fillId="0" borderId="9" xfId="0" applyFont="1" applyBorder="1" applyAlignment="1">
      <alignment vertical="center"/>
    </xf>
    <xf numFmtId="0" fontId="16" fillId="0" borderId="12" xfId="0" applyFont="1" applyBorder="1"/>
    <xf numFmtId="0" fontId="14" fillId="0" borderId="0" xfId="0" applyFont="1" applyAlignment="1">
      <alignment vertical="center"/>
    </xf>
    <xf numFmtId="0" fontId="11" fillId="0" borderId="11" xfId="0" applyFont="1" applyBorder="1" applyAlignment="1">
      <alignment horizontal="center" vertical="center"/>
    </xf>
    <xf numFmtId="0" fontId="2" fillId="0" borderId="0" xfId="0" applyFont="1" applyAlignment="1">
      <alignment vertical="center"/>
    </xf>
    <xf numFmtId="0" fontId="11" fillId="0" borderId="11" xfId="0" applyFont="1" applyBorder="1" applyAlignment="1">
      <alignment horizontal="left" vertical="center" wrapText="1"/>
    </xf>
    <xf numFmtId="0" fontId="11" fillId="5" borderId="11" xfId="0" applyFont="1" applyFill="1" applyBorder="1" applyAlignment="1">
      <alignment vertical="center" wrapText="1"/>
    </xf>
    <xf numFmtId="3" fontId="15" fillId="2" borderId="10" xfId="0" applyNumberFormat="1" applyFont="1" applyFill="1" applyBorder="1" applyAlignment="1">
      <alignment horizontal="right"/>
    </xf>
    <xf numFmtId="0" fontId="11" fillId="0" borderId="11" xfId="0" applyFont="1" applyBorder="1" applyAlignment="1">
      <alignment vertical="center" wrapText="1"/>
    </xf>
    <xf numFmtId="0" fontId="16" fillId="0" borderId="11" xfId="0" applyFont="1" applyBorder="1" applyAlignment="1">
      <alignment horizontal="center" vertical="center"/>
    </xf>
    <xf numFmtId="0" fontId="11" fillId="5" borderId="11" xfId="0" applyFont="1" applyFill="1" applyBorder="1" applyAlignment="1">
      <alignment vertical="center"/>
    </xf>
    <xf numFmtId="0" fontId="16" fillId="0" borderId="11" xfId="0" applyFont="1" applyBorder="1" applyAlignment="1">
      <alignment vertical="center"/>
    </xf>
    <xf numFmtId="0" fontId="11" fillId="0" borderId="11" xfId="0" quotePrefix="1" applyFont="1" applyBorder="1" applyAlignment="1">
      <alignment horizontal="left"/>
    </xf>
    <xf numFmtId="3" fontId="15" fillId="2" borderId="5" xfId="0" applyNumberFormat="1" applyFont="1" applyFill="1" applyBorder="1" applyAlignment="1">
      <alignment horizontal="right"/>
    </xf>
    <xf numFmtId="0" fontId="16" fillId="0" borderId="11" xfId="0" quotePrefix="1" applyFont="1" applyBorder="1" applyAlignment="1">
      <alignment vertical="center"/>
    </xf>
    <xf numFmtId="0" fontId="9" fillId="0" borderId="0" xfId="0" applyFont="1" applyAlignment="1">
      <alignment vertical="center"/>
    </xf>
    <xf numFmtId="0" fontId="16" fillId="5" borderId="11" xfId="0" quotePrefix="1" applyFont="1" applyFill="1" applyBorder="1" applyAlignment="1">
      <alignment vertical="center"/>
    </xf>
    <xf numFmtId="0" fontId="11" fillId="0" borderId="12" xfId="0" applyFont="1" applyBorder="1" applyAlignment="1">
      <alignment vertical="center"/>
    </xf>
    <xf numFmtId="3" fontId="10" fillId="2" borderId="7" xfId="0" applyNumberFormat="1" applyFont="1" applyFill="1" applyBorder="1" applyAlignment="1">
      <alignment horizontal="right"/>
    </xf>
    <xf numFmtId="0" fontId="11" fillId="0" borderId="9" xfId="0" applyFont="1" applyBorder="1" applyAlignment="1">
      <alignment vertical="center"/>
    </xf>
    <xf numFmtId="0" fontId="3" fillId="0" borderId="0" xfId="0" applyFont="1" applyAlignment="1">
      <alignment vertical="center"/>
    </xf>
    <xf numFmtId="0" fontId="11" fillId="0" borderId="0" xfId="0" applyFont="1" applyAlignment="1">
      <alignment vertical="center"/>
    </xf>
    <xf numFmtId="0" fontId="16" fillId="5" borderId="11" xfId="0" applyFont="1" applyFill="1" applyBorder="1" applyAlignment="1">
      <alignment vertical="center"/>
    </xf>
    <xf numFmtId="0" fontId="1" fillId="2" borderId="7" xfId="0" applyFont="1" applyFill="1" applyBorder="1" applyAlignment="1">
      <alignment horizontal="center" vertical="center"/>
    </xf>
    <xf numFmtId="0" fontId="1" fillId="2" borderId="7" xfId="0" applyFont="1" applyFill="1" applyBorder="1" applyAlignment="1">
      <alignment vertical="center" wrapText="1"/>
    </xf>
    <xf numFmtId="0" fontId="16" fillId="0" borderId="9" xfId="0" applyFont="1" applyBorder="1" applyAlignment="1">
      <alignment horizontal="center" vertical="center"/>
    </xf>
    <xf numFmtId="0" fontId="16" fillId="0" borderId="9" xfId="0" applyFont="1" applyBorder="1" applyAlignment="1">
      <alignment vertical="center" wrapText="1"/>
    </xf>
    <xf numFmtId="0" fontId="6" fillId="0" borderId="0" xfId="0" applyFont="1" applyAlignment="1">
      <alignment vertical="center"/>
    </xf>
    <xf numFmtId="0" fontId="16" fillId="0" borderId="12" xfId="0" applyFont="1" applyBorder="1" applyAlignment="1">
      <alignment horizontal="center" vertical="center"/>
    </xf>
    <xf numFmtId="0" fontId="16" fillId="0" borderId="12" xfId="0" applyFont="1" applyBorder="1" applyAlignment="1">
      <alignment vertical="center" wrapText="1"/>
    </xf>
    <xf numFmtId="3" fontId="15" fillId="2" borderId="13" xfId="0" applyNumberFormat="1" applyFont="1" applyFill="1" applyBorder="1" applyAlignment="1">
      <alignment horizontal="right"/>
    </xf>
    <xf numFmtId="0" fontId="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5" xfId="0" applyFont="1" applyBorder="1" applyAlignment="1">
      <alignment vertical="center" wrapText="1"/>
    </xf>
    <xf numFmtId="0" fontId="11" fillId="0" borderId="17" xfId="0" applyFont="1" applyBorder="1" applyAlignment="1">
      <alignment vertical="center"/>
    </xf>
    <xf numFmtId="0" fontId="16" fillId="0" borderId="19" xfId="0" applyFont="1" applyBorder="1" applyAlignment="1">
      <alignment horizontal="center" vertical="center"/>
    </xf>
    <xf numFmtId="0" fontId="11" fillId="5" borderId="23" xfId="0" applyFont="1" applyFill="1" applyBorder="1" applyAlignment="1">
      <alignment horizontal="left" wrapText="1"/>
    </xf>
    <xf numFmtId="0" fontId="1" fillId="0" borderId="0" xfId="0" applyFont="1" applyAlignment="1">
      <alignment horizontal="left"/>
    </xf>
    <xf numFmtId="0" fontId="3" fillId="0" borderId="0" xfId="0" applyFont="1" applyAlignment="1">
      <alignment horizontal="left"/>
    </xf>
    <xf numFmtId="0" fontId="3" fillId="0" borderId="0" xfId="0" applyFont="1"/>
    <xf numFmtId="0" fontId="11" fillId="0" borderId="0" xfId="0" applyFont="1" applyAlignment="1">
      <alignment horizontal="left"/>
    </xf>
    <xf numFmtId="0" fontId="0" fillId="0" borderId="0" xfId="0" applyFont="1" applyAlignment="1"/>
    <xf numFmtId="0" fontId="18" fillId="3" borderId="0" xfId="0" applyFont="1" applyFill="1" applyAlignment="1">
      <alignment horizontal="right"/>
    </xf>
    <xf numFmtId="3" fontId="15" fillId="4" borderId="5" xfId="0" applyNumberFormat="1" applyFont="1" applyFill="1" applyBorder="1" applyAlignment="1" applyProtection="1">
      <alignment horizontal="right"/>
      <protection locked="0"/>
    </xf>
    <xf numFmtId="3" fontId="15" fillId="4" borderId="10" xfId="0" applyNumberFormat="1" applyFont="1" applyFill="1" applyBorder="1" applyAlignment="1" applyProtection="1">
      <alignment horizontal="right"/>
      <protection locked="0"/>
    </xf>
    <xf numFmtId="3" fontId="15" fillId="0" borderId="5" xfId="0" applyNumberFormat="1" applyFont="1" applyBorder="1" applyAlignment="1" applyProtection="1">
      <alignment horizontal="right"/>
      <protection locked="0"/>
    </xf>
    <xf numFmtId="3" fontId="15" fillId="0" borderId="10" xfId="0" applyNumberFormat="1" applyFont="1" applyBorder="1" applyAlignment="1" applyProtection="1">
      <alignment horizontal="right"/>
      <protection locked="0"/>
    </xf>
    <xf numFmtId="3" fontId="15" fillId="5" borderId="5" xfId="0" applyNumberFormat="1" applyFont="1" applyFill="1" applyBorder="1" applyAlignment="1" applyProtection="1">
      <alignment horizontal="right"/>
      <protection locked="0"/>
    </xf>
    <xf numFmtId="3" fontId="15" fillId="5" borderId="10" xfId="0" applyNumberFormat="1" applyFont="1" applyFill="1" applyBorder="1" applyAlignment="1" applyProtection="1">
      <alignment horizontal="right"/>
      <protection locked="0"/>
    </xf>
    <xf numFmtId="3" fontId="15" fillId="0" borderId="6" xfId="0" applyNumberFormat="1" applyFont="1" applyBorder="1" applyAlignment="1" applyProtection="1">
      <alignment horizontal="right"/>
      <protection locked="0"/>
    </xf>
    <xf numFmtId="3" fontId="15" fillId="0" borderId="13" xfId="0" applyNumberFormat="1" applyFont="1" applyBorder="1" applyAlignment="1" applyProtection="1">
      <alignment horizontal="right"/>
      <protection locked="0"/>
    </xf>
    <xf numFmtId="0" fontId="0" fillId="0" borderId="0" xfId="0" applyFont="1" applyAlignment="1"/>
    <xf numFmtId="0" fontId="16" fillId="0" borderId="26" xfId="0" applyFont="1" applyBorder="1" applyAlignment="1">
      <alignment horizontal="center" vertical="center"/>
    </xf>
    <xf numFmtId="0" fontId="15" fillId="0" borderId="26" xfId="0" applyFont="1" applyBorder="1" applyAlignment="1" applyProtection="1">
      <alignment horizontal="center"/>
      <protection locked="0"/>
    </xf>
    <xf numFmtId="0" fontId="7" fillId="0" borderId="26" xfId="0" applyFont="1" applyBorder="1" applyProtection="1">
      <protection locked="0"/>
    </xf>
    <xf numFmtId="0" fontId="19" fillId="0" borderId="26" xfId="0" applyFont="1" applyBorder="1" applyAlignment="1">
      <alignment horizontal="left" vertical="center"/>
    </xf>
    <xf numFmtId="0" fontId="14" fillId="6" borderId="11" xfId="0" applyFont="1" applyFill="1" applyBorder="1" applyAlignment="1">
      <alignment horizontal="center" vertical="center"/>
    </xf>
    <xf numFmtId="0" fontId="11" fillId="6" borderId="11" xfId="0" applyFont="1" applyFill="1" applyBorder="1" applyAlignment="1">
      <alignment horizontal="left" vertical="center" wrapText="1"/>
    </xf>
    <xf numFmtId="3" fontId="15" fillId="6" borderId="5" xfId="0" applyNumberFormat="1" applyFont="1" applyFill="1" applyBorder="1" applyAlignment="1">
      <alignment horizontal="right"/>
    </xf>
    <xf numFmtId="3" fontId="15" fillId="6" borderId="10" xfId="0" applyNumberFormat="1" applyFont="1" applyFill="1" applyBorder="1" applyAlignment="1">
      <alignment horizontal="right"/>
    </xf>
    <xf numFmtId="0" fontId="2" fillId="6" borderId="11" xfId="0" applyFont="1" applyFill="1" applyBorder="1" applyAlignment="1">
      <alignment horizontal="center" vertical="center"/>
    </xf>
    <xf numFmtId="0" fontId="1" fillId="6" borderId="7" xfId="0" applyFont="1" applyFill="1" applyBorder="1" applyAlignment="1">
      <alignment horizontal="center" vertical="center" wrapText="1"/>
    </xf>
    <xf numFmtId="3" fontId="10" fillId="6" borderId="7" xfId="0" applyNumberFormat="1" applyFont="1" applyFill="1" applyBorder="1" applyAlignment="1">
      <alignment horizontal="right"/>
    </xf>
    <xf numFmtId="0" fontId="1" fillId="6" borderId="8" xfId="0" applyFont="1" applyFill="1" applyBorder="1" applyAlignment="1">
      <alignment horizontal="center" vertical="center"/>
    </xf>
    <xf numFmtId="0" fontId="12" fillId="6" borderId="9" xfId="0" applyFont="1" applyFill="1" applyBorder="1" applyAlignment="1">
      <alignment vertical="center" wrapText="1"/>
    </xf>
    <xf numFmtId="3" fontId="13" fillId="6" borderId="5" xfId="0" applyNumberFormat="1" applyFont="1" applyFill="1" applyBorder="1" applyAlignment="1">
      <alignment horizontal="right"/>
    </xf>
    <xf numFmtId="0" fontId="11" fillId="7" borderId="11" xfId="0" applyFont="1" applyFill="1" applyBorder="1" applyAlignment="1">
      <alignment horizontal="center" vertical="center"/>
    </xf>
    <xf numFmtId="0" fontId="11" fillId="7" borderId="11" xfId="0" applyFont="1" applyFill="1" applyBorder="1" applyAlignment="1">
      <alignment vertical="center"/>
    </xf>
    <xf numFmtId="3" fontId="15" fillId="7" borderId="5" xfId="0" applyNumberFormat="1" applyFont="1" applyFill="1" applyBorder="1" applyAlignment="1">
      <alignment horizontal="right"/>
    </xf>
    <xf numFmtId="0" fontId="1" fillId="7" borderId="7" xfId="0" applyFont="1" applyFill="1" applyBorder="1" applyAlignment="1">
      <alignment horizontal="center" vertical="center"/>
    </xf>
    <xf numFmtId="0" fontId="1" fillId="7" borderId="7" xfId="0" applyFont="1" applyFill="1" applyBorder="1" applyAlignment="1">
      <alignment vertical="center" wrapText="1"/>
    </xf>
    <xf numFmtId="3" fontId="10" fillId="7" borderId="7" xfId="0" applyNumberFormat="1" applyFont="1" applyFill="1" applyBorder="1" applyAlignment="1">
      <alignment horizontal="right"/>
    </xf>
    <xf numFmtId="9" fontId="15" fillId="2" borderId="10" xfId="1" applyFont="1" applyFill="1" applyBorder="1" applyAlignment="1">
      <alignment horizontal="right"/>
    </xf>
    <xf numFmtId="9" fontId="10" fillId="2" borderId="4" xfId="1" applyFont="1" applyFill="1" applyBorder="1" applyAlignment="1">
      <alignment horizontal="right"/>
    </xf>
    <xf numFmtId="9" fontId="13" fillId="2" borderId="10" xfId="1" applyFont="1" applyFill="1" applyBorder="1" applyAlignment="1">
      <alignment horizontal="right"/>
    </xf>
    <xf numFmtId="9" fontId="15" fillId="2" borderId="13" xfId="1" applyFont="1" applyFill="1" applyBorder="1" applyAlignment="1">
      <alignment horizontal="right"/>
    </xf>
    <xf numFmtId="0" fontId="1" fillId="0" borderId="0" xfId="0" applyFont="1" applyProtection="1">
      <protection locked="0"/>
    </xf>
    <xf numFmtId="0" fontId="8" fillId="0" borderId="0" xfId="0" applyFont="1" applyAlignment="1">
      <alignment horizontal="center" vertical="center"/>
    </xf>
    <xf numFmtId="0" fontId="0" fillId="0" borderId="0" xfId="0" applyFont="1" applyAlignment="1"/>
    <xf numFmtId="0" fontId="1" fillId="0" borderId="0" xfId="0" applyFont="1" applyAlignment="1">
      <alignment horizontal="right"/>
    </xf>
    <xf numFmtId="0" fontId="1" fillId="0" borderId="0" xfId="0" applyFont="1" applyAlignment="1">
      <alignment horizontal="center" vertical="center"/>
    </xf>
    <xf numFmtId="0" fontId="5" fillId="0" borderId="0" xfId="0" applyFont="1" applyAlignment="1">
      <alignment horizontal="center"/>
    </xf>
    <xf numFmtId="0" fontId="5" fillId="0" borderId="0" xfId="0" applyFont="1" applyAlignment="1" applyProtection="1">
      <alignment horizontal="center"/>
      <protection locked="0"/>
    </xf>
    <xf numFmtId="0" fontId="0" fillId="0" borderId="0" xfId="0" applyFont="1" applyAlignment="1" applyProtection="1">
      <protection locked="0"/>
    </xf>
    <xf numFmtId="0" fontId="4" fillId="0" borderId="0" xfId="0" applyFont="1" applyAlignment="1">
      <alignment horizontal="center"/>
    </xf>
    <xf numFmtId="0" fontId="6" fillId="0" borderId="1" xfId="0" applyFont="1" applyBorder="1" applyAlignment="1">
      <alignment horizontal="right" vertical="center"/>
    </xf>
    <xf numFmtId="0" fontId="7" fillId="0" borderId="1" xfId="0" applyFont="1" applyBorder="1"/>
    <xf numFmtId="0" fontId="1" fillId="0" borderId="2" xfId="0" applyFont="1" applyBorder="1" applyAlignment="1">
      <alignment horizontal="center" vertical="center" wrapText="1"/>
    </xf>
    <xf numFmtId="0" fontId="7" fillId="0" borderId="5" xfId="0" applyFont="1" applyBorder="1"/>
    <xf numFmtId="0" fontId="7" fillId="0" borderId="6" xfId="0" applyFont="1" applyBorder="1"/>
    <xf numFmtId="0" fontId="1" fillId="0" borderId="2" xfId="0" applyFont="1" applyBorder="1" applyAlignment="1" applyProtection="1">
      <alignment horizontal="center" vertical="center" wrapText="1"/>
      <protection locked="0"/>
    </xf>
    <xf numFmtId="0" fontId="7" fillId="0" borderId="5" xfId="0" applyFont="1" applyBorder="1" applyProtection="1">
      <protection locked="0"/>
    </xf>
    <xf numFmtId="0" fontId="7" fillId="0" borderId="6" xfId="0" applyFont="1" applyBorder="1" applyProtection="1">
      <protection locked="0"/>
    </xf>
    <xf numFmtId="0" fontId="1" fillId="0" borderId="3" xfId="0" applyFont="1" applyBorder="1" applyAlignment="1" applyProtection="1">
      <alignment horizontal="center" vertical="center" wrapText="1"/>
      <protection locked="0"/>
    </xf>
    <xf numFmtId="0" fontId="7" fillId="0" borderId="4" xfId="0" applyFont="1" applyBorder="1" applyProtection="1">
      <protection locked="0"/>
    </xf>
    <xf numFmtId="0" fontId="1" fillId="2" borderId="2" xfId="0" applyFont="1" applyFill="1" applyBorder="1" applyAlignment="1" applyProtection="1">
      <alignment horizontal="center" vertical="center" wrapText="1"/>
      <protection locked="0"/>
    </xf>
    <xf numFmtId="0" fontId="16" fillId="5" borderId="24" xfId="0" quotePrefix="1" applyFont="1" applyFill="1" applyBorder="1" applyAlignment="1">
      <alignment horizontal="center" wrapText="1"/>
    </xf>
    <xf numFmtId="0" fontId="7" fillId="0" borderId="25" xfId="0" applyFont="1" applyBorder="1"/>
    <xf numFmtId="0" fontId="7" fillId="0" borderId="26" xfId="0" applyFont="1" applyBorder="1"/>
    <xf numFmtId="0" fontId="15" fillId="0" borderId="22" xfId="0" applyFont="1" applyBorder="1" applyAlignment="1" applyProtection="1">
      <alignment horizontal="center"/>
      <protection locked="0"/>
    </xf>
    <xf numFmtId="0" fontId="7" fillId="0" borderId="13" xfId="0" applyFont="1" applyBorder="1" applyProtection="1">
      <protection locked="0"/>
    </xf>
    <xf numFmtId="0" fontId="19" fillId="0" borderId="3" xfId="0" applyFont="1" applyBorder="1" applyAlignment="1">
      <alignment horizontal="center" vertical="center"/>
    </xf>
    <xf numFmtId="0" fontId="19" fillId="0" borderId="14" xfId="0" applyFont="1" applyBorder="1" applyAlignment="1">
      <alignment horizontal="center" vertical="center"/>
    </xf>
    <xf numFmtId="0" fontId="19" fillId="0" borderId="4" xfId="0" applyFont="1" applyBorder="1" applyAlignment="1">
      <alignment horizontal="center" vertical="center"/>
    </xf>
    <xf numFmtId="0" fontId="1" fillId="0" borderId="3" xfId="0" applyFont="1" applyBorder="1" applyAlignment="1">
      <alignment horizontal="center" vertical="center"/>
    </xf>
    <xf numFmtId="0" fontId="7" fillId="0" borderId="14" xfId="0" applyFont="1" applyBorder="1"/>
    <xf numFmtId="0" fontId="7" fillId="0" borderId="4" xfId="0" applyFont="1" applyBorder="1"/>
    <xf numFmtId="0" fontId="16" fillId="0" borderId="17" xfId="0" quotePrefix="1" applyFont="1" applyBorder="1" applyAlignment="1">
      <alignment vertical="center"/>
    </xf>
    <xf numFmtId="0" fontId="11" fillId="0" borderId="17" xfId="0" applyFont="1" applyBorder="1" applyAlignment="1">
      <alignment vertical="center" wrapText="1"/>
    </xf>
    <xf numFmtId="0" fontId="16" fillId="0" borderId="20" xfId="0" quotePrefix="1" applyFont="1" applyBorder="1" applyAlignment="1">
      <alignment vertical="center"/>
    </xf>
    <xf numFmtId="0" fontId="11" fillId="0" borderId="16" xfId="0" applyFont="1" applyBorder="1" applyAlignment="1" applyProtection="1">
      <alignment vertical="center" wrapText="1"/>
      <protection locked="0"/>
    </xf>
    <xf numFmtId="0" fontId="11" fillId="0" borderId="18" xfId="0" applyFont="1" applyBorder="1" applyAlignment="1" applyProtection="1">
      <alignment vertical="center"/>
      <protection locked="0"/>
    </xf>
    <xf numFmtId="3" fontId="11" fillId="0" borderId="18" xfId="0" applyNumberFormat="1" applyFont="1" applyBorder="1" applyAlignment="1" applyProtection="1">
      <alignment horizontal="center" vertical="center"/>
      <protection locked="0"/>
    </xf>
    <xf numFmtId="0" fontId="7" fillId="0" borderId="18" xfId="0" applyFont="1" applyBorder="1" applyAlignment="1" applyProtection="1">
      <protection locked="0"/>
    </xf>
    <xf numFmtId="0" fontId="7" fillId="0" borderId="21" xfId="0" applyFont="1" applyBorder="1" applyAlignment="1" applyProtection="1">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1162050</xdr:colOff>
      <xdr:row>106</xdr:row>
      <xdr:rowOff>0</xdr:rowOff>
    </xdr:from>
    <xdr:ext cx="238125" cy="285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6938" y="3765713"/>
          <a:ext cx="23812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2886075</xdr:colOff>
      <xdr:row>106</xdr:row>
      <xdr:rowOff>0</xdr:rowOff>
    </xdr:from>
    <xdr:ext cx="38100" cy="285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5346000" y="3765713"/>
          <a:ext cx="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1162050</xdr:colOff>
      <xdr:row>106</xdr:row>
      <xdr:rowOff>0</xdr:rowOff>
    </xdr:from>
    <xdr:ext cx="238125" cy="28575"/>
    <xdr:sp macro="" textlink="">
      <xdr:nvSpPr>
        <xdr:cNvPr id="2" name="Shape 3">
          <a:extLst>
            <a:ext uri="{FF2B5EF4-FFF2-40B4-BE49-F238E27FC236}">
              <a16:creationId xmlns:a16="http://schemas.microsoft.com/office/drawing/2014/main" id="{00000000-0008-0000-0000-000002000000}"/>
            </a:ext>
          </a:extLst>
        </xdr:cNvPr>
        <xdr:cNvSpPr txBox="1"/>
      </xdr:nvSpPr>
      <xdr:spPr>
        <a:xfrm>
          <a:off x="5226938" y="3765713"/>
          <a:ext cx="23812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2886075</xdr:colOff>
      <xdr:row>106</xdr:row>
      <xdr:rowOff>0</xdr:rowOff>
    </xdr:from>
    <xdr:ext cx="38100" cy="28575"/>
    <xdr:sp macro="" textlink="">
      <xdr:nvSpPr>
        <xdr:cNvPr id="5" name="Shape 4">
          <a:extLst>
            <a:ext uri="{FF2B5EF4-FFF2-40B4-BE49-F238E27FC236}">
              <a16:creationId xmlns:a16="http://schemas.microsoft.com/office/drawing/2014/main" id="{00000000-0008-0000-0000-000005000000}"/>
            </a:ext>
          </a:extLst>
        </xdr:cNvPr>
        <xdr:cNvSpPr txBox="1"/>
      </xdr:nvSpPr>
      <xdr:spPr>
        <a:xfrm>
          <a:off x="5346000" y="3765713"/>
          <a:ext cx="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1038225</xdr:colOff>
      <xdr:row>105</xdr:row>
      <xdr:rowOff>0</xdr:rowOff>
    </xdr:from>
    <xdr:ext cx="38100" cy="28575"/>
    <xdr:sp macro="" textlink="">
      <xdr:nvSpPr>
        <xdr:cNvPr id="6" name="Shape 5">
          <a:extLst>
            <a:ext uri="{FF2B5EF4-FFF2-40B4-BE49-F238E27FC236}">
              <a16:creationId xmlns:a16="http://schemas.microsoft.com/office/drawing/2014/main" id="{00000000-0008-0000-0000-000006000000}"/>
            </a:ext>
          </a:extLst>
        </xdr:cNvPr>
        <xdr:cNvSpPr txBox="1"/>
      </xdr:nvSpPr>
      <xdr:spPr>
        <a:xfrm flipH="1">
          <a:off x="5241225" y="3765713"/>
          <a:ext cx="20955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1790700</xdr:colOff>
      <xdr:row>105</xdr:row>
      <xdr:rowOff>0</xdr:rowOff>
    </xdr:from>
    <xdr:ext cx="38100" cy="28575"/>
    <xdr:sp macro="" textlink="">
      <xdr:nvSpPr>
        <xdr:cNvPr id="7" name="Shape 6">
          <a:extLst>
            <a:ext uri="{FF2B5EF4-FFF2-40B4-BE49-F238E27FC236}">
              <a16:creationId xmlns:a16="http://schemas.microsoft.com/office/drawing/2014/main" id="{00000000-0008-0000-0000-000007000000}"/>
            </a:ext>
          </a:extLst>
        </xdr:cNvPr>
        <xdr:cNvSpPr txBox="1"/>
      </xdr:nvSpPr>
      <xdr:spPr>
        <a:xfrm flipH="1">
          <a:off x="4250625" y="3765713"/>
          <a:ext cx="219075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1038225</xdr:colOff>
      <xdr:row>105</xdr:row>
      <xdr:rowOff>0</xdr:rowOff>
    </xdr:from>
    <xdr:ext cx="38100" cy="28575"/>
    <xdr:sp macro="" textlink="">
      <xdr:nvSpPr>
        <xdr:cNvPr id="8" name="Shape 5">
          <a:extLst>
            <a:ext uri="{FF2B5EF4-FFF2-40B4-BE49-F238E27FC236}">
              <a16:creationId xmlns:a16="http://schemas.microsoft.com/office/drawing/2014/main" id="{00000000-0008-0000-0000-000008000000}"/>
            </a:ext>
          </a:extLst>
        </xdr:cNvPr>
        <xdr:cNvSpPr txBox="1"/>
      </xdr:nvSpPr>
      <xdr:spPr>
        <a:xfrm flipH="1">
          <a:off x="5241225" y="3765713"/>
          <a:ext cx="20955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1790700</xdr:colOff>
      <xdr:row>105</xdr:row>
      <xdr:rowOff>0</xdr:rowOff>
    </xdr:from>
    <xdr:ext cx="38100" cy="28575"/>
    <xdr:sp macro="" textlink="">
      <xdr:nvSpPr>
        <xdr:cNvPr id="9" name="Shape 6">
          <a:extLst>
            <a:ext uri="{FF2B5EF4-FFF2-40B4-BE49-F238E27FC236}">
              <a16:creationId xmlns:a16="http://schemas.microsoft.com/office/drawing/2014/main" id="{00000000-0008-0000-0000-000009000000}"/>
            </a:ext>
          </a:extLst>
        </xdr:cNvPr>
        <xdr:cNvSpPr txBox="1"/>
      </xdr:nvSpPr>
      <xdr:spPr>
        <a:xfrm flipH="1">
          <a:off x="4250625" y="3765713"/>
          <a:ext cx="219075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10" name="Shape 7">
          <a:extLst>
            <a:ext uri="{FF2B5EF4-FFF2-40B4-BE49-F238E27FC236}">
              <a16:creationId xmlns:a16="http://schemas.microsoft.com/office/drawing/2014/main" id="{00000000-0008-0000-0000-00000A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11" name="Shape 7">
          <a:extLst>
            <a:ext uri="{FF2B5EF4-FFF2-40B4-BE49-F238E27FC236}">
              <a16:creationId xmlns:a16="http://schemas.microsoft.com/office/drawing/2014/main" id="{00000000-0008-0000-0000-00000B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12" name="Shape 7">
          <a:extLst>
            <a:ext uri="{FF2B5EF4-FFF2-40B4-BE49-F238E27FC236}">
              <a16:creationId xmlns:a16="http://schemas.microsoft.com/office/drawing/2014/main" id="{00000000-0008-0000-0000-00000C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13" name="Shape 7">
          <a:extLst>
            <a:ext uri="{FF2B5EF4-FFF2-40B4-BE49-F238E27FC236}">
              <a16:creationId xmlns:a16="http://schemas.microsoft.com/office/drawing/2014/main" id="{00000000-0008-0000-0000-00000D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69</xdr:row>
      <xdr:rowOff>0</xdr:rowOff>
    </xdr:from>
    <xdr:ext cx="76200" cy="161925"/>
    <xdr:sp macro="" textlink="">
      <xdr:nvSpPr>
        <xdr:cNvPr id="14" name="Shape 8">
          <a:extLst>
            <a:ext uri="{FF2B5EF4-FFF2-40B4-BE49-F238E27FC236}">
              <a16:creationId xmlns:a16="http://schemas.microsoft.com/office/drawing/2014/main" id="{00000000-0008-0000-0000-00000E000000}"/>
            </a:ext>
          </a:extLst>
        </xdr:cNvPr>
        <xdr:cNvSpPr txBox="1"/>
      </xdr:nvSpPr>
      <xdr:spPr>
        <a:xfrm>
          <a:off x="5307900" y="3699038"/>
          <a:ext cx="76200"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69</xdr:row>
      <xdr:rowOff>0</xdr:rowOff>
    </xdr:from>
    <xdr:ext cx="76200" cy="161925"/>
    <xdr:sp macro="" textlink="">
      <xdr:nvSpPr>
        <xdr:cNvPr id="15" name="Shape 8">
          <a:extLst>
            <a:ext uri="{FF2B5EF4-FFF2-40B4-BE49-F238E27FC236}">
              <a16:creationId xmlns:a16="http://schemas.microsoft.com/office/drawing/2014/main" id="{00000000-0008-0000-0000-00000F000000}"/>
            </a:ext>
          </a:extLst>
        </xdr:cNvPr>
        <xdr:cNvSpPr txBox="1"/>
      </xdr:nvSpPr>
      <xdr:spPr>
        <a:xfrm>
          <a:off x="5307900" y="3699038"/>
          <a:ext cx="76200"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16" name="Shape 7">
          <a:extLst>
            <a:ext uri="{FF2B5EF4-FFF2-40B4-BE49-F238E27FC236}">
              <a16:creationId xmlns:a16="http://schemas.microsoft.com/office/drawing/2014/main" id="{00000000-0008-0000-0000-000010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17" name="Shape 7">
          <a:extLst>
            <a:ext uri="{FF2B5EF4-FFF2-40B4-BE49-F238E27FC236}">
              <a16:creationId xmlns:a16="http://schemas.microsoft.com/office/drawing/2014/main" id="{00000000-0008-0000-0000-000011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18" name="Shape 7">
          <a:extLst>
            <a:ext uri="{FF2B5EF4-FFF2-40B4-BE49-F238E27FC236}">
              <a16:creationId xmlns:a16="http://schemas.microsoft.com/office/drawing/2014/main" id="{00000000-0008-0000-0000-000012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19" name="Shape 7">
          <a:extLst>
            <a:ext uri="{FF2B5EF4-FFF2-40B4-BE49-F238E27FC236}">
              <a16:creationId xmlns:a16="http://schemas.microsoft.com/office/drawing/2014/main" id="{00000000-0008-0000-0000-000013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20" name="Shape 7">
          <a:extLst>
            <a:ext uri="{FF2B5EF4-FFF2-40B4-BE49-F238E27FC236}">
              <a16:creationId xmlns:a16="http://schemas.microsoft.com/office/drawing/2014/main" id="{00000000-0008-0000-0000-000014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21" name="Shape 7">
          <a:extLst>
            <a:ext uri="{FF2B5EF4-FFF2-40B4-BE49-F238E27FC236}">
              <a16:creationId xmlns:a16="http://schemas.microsoft.com/office/drawing/2014/main" id="{00000000-0008-0000-0000-000015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22" name="Shape 7">
          <a:extLst>
            <a:ext uri="{FF2B5EF4-FFF2-40B4-BE49-F238E27FC236}">
              <a16:creationId xmlns:a16="http://schemas.microsoft.com/office/drawing/2014/main" id="{00000000-0008-0000-0000-000016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23" name="Shape 7">
          <a:extLst>
            <a:ext uri="{FF2B5EF4-FFF2-40B4-BE49-F238E27FC236}">
              <a16:creationId xmlns:a16="http://schemas.microsoft.com/office/drawing/2014/main" id="{00000000-0008-0000-0000-000017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24" name="Shape 7">
          <a:extLst>
            <a:ext uri="{FF2B5EF4-FFF2-40B4-BE49-F238E27FC236}">
              <a16:creationId xmlns:a16="http://schemas.microsoft.com/office/drawing/2014/main" id="{00000000-0008-0000-0000-000018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0</xdr:colOff>
      <xdr:row>98</xdr:row>
      <xdr:rowOff>0</xdr:rowOff>
    </xdr:from>
    <xdr:ext cx="76200" cy="228600"/>
    <xdr:sp macro="" textlink="">
      <xdr:nvSpPr>
        <xdr:cNvPr id="25" name="Shape 7">
          <a:extLst>
            <a:ext uri="{FF2B5EF4-FFF2-40B4-BE49-F238E27FC236}">
              <a16:creationId xmlns:a16="http://schemas.microsoft.com/office/drawing/2014/main" id="{00000000-0008-0000-0000-000019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5"/>
  <sheetViews>
    <sheetView tabSelected="1" topLeftCell="A68" zoomScale="70" zoomScaleNormal="70" workbookViewId="0">
      <selection activeCell="M101" sqref="M101"/>
    </sheetView>
  </sheetViews>
  <sheetFormatPr defaultColWidth="12.59765625" defaultRowHeight="15" customHeight="1"/>
  <cols>
    <col min="1" max="1" width="8.3984375" style="77" bestFit="1" customWidth="1"/>
    <col min="2" max="2" width="9.3984375" customWidth="1"/>
    <col min="3" max="3" width="56.8984375" customWidth="1"/>
    <col min="4" max="4" width="10.59765625" customWidth="1"/>
    <col min="5" max="5" width="8.5" customWidth="1"/>
    <col min="6" max="6" width="11.19921875" customWidth="1"/>
    <col min="7" max="7" width="8.19921875" customWidth="1"/>
    <col min="8" max="8" width="9.09765625" customWidth="1"/>
    <col min="9" max="9" width="10.8984375" customWidth="1"/>
    <col min="10" max="27" width="9.09765625" customWidth="1"/>
  </cols>
  <sheetData>
    <row r="1" spans="1:27" ht="17.25" customHeight="1">
      <c r="B1" s="1"/>
      <c r="C1" s="2"/>
      <c r="D1" s="115" t="s">
        <v>0</v>
      </c>
      <c r="E1" s="114"/>
      <c r="F1" s="114"/>
      <c r="G1" s="114"/>
      <c r="H1" s="114"/>
      <c r="I1" s="3"/>
      <c r="J1" s="3"/>
      <c r="K1" s="3"/>
      <c r="L1" s="3"/>
      <c r="M1" s="3"/>
      <c r="N1" s="3"/>
      <c r="O1" s="3"/>
      <c r="P1" s="3"/>
      <c r="Q1" s="3"/>
      <c r="R1" s="3"/>
      <c r="S1" s="3"/>
      <c r="T1" s="3"/>
      <c r="U1" s="3"/>
      <c r="V1" s="3"/>
      <c r="W1" s="3"/>
      <c r="X1" s="3"/>
      <c r="Y1" s="3"/>
      <c r="Z1" s="3"/>
      <c r="AA1" s="3"/>
    </row>
    <row r="2" spans="1:27" ht="14.25" customHeight="1">
      <c r="B2" s="1" t="s">
        <v>1</v>
      </c>
      <c r="C2" s="2"/>
      <c r="D2" s="116" t="s">
        <v>2</v>
      </c>
      <c r="E2" s="114"/>
      <c r="F2" s="114"/>
      <c r="G2" s="114"/>
      <c r="H2" s="114"/>
      <c r="I2" s="4"/>
      <c r="J2" s="3"/>
      <c r="K2" s="3"/>
      <c r="L2" s="3"/>
      <c r="M2" s="3"/>
      <c r="N2" s="3"/>
      <c r="O2" s="3"/>
      <c r="P2" s="3"/>
      <c r="Q2" s="3"/>
      <c r="R2" s="3"/>
      <c r="S2" s="3"/>
      <c r="T2" s="3"/>
      <c r="U2" s="3"/>
      <c r="V2" s="3"/>
      <c r="W2" s="3"/>
      <c r="X2" s="3"/>
      <c r="Y2" s="3"/>
      <c r="Z2" s="3"/>
      <c r="AA2" s="3"/>
    </row>
    <row r="3" spans="1:27" ht="15.75" customHeight="1">
      <c r="B3" s="1" t="s">
        <v>3</v>
      </c>
      <c r="C3" s="5"/>
      <c r="D3" s="6"/>
      <c r="E3" s="6"/>
      <c r="F3" s="7" t="s">
        <v>4</v>
      </c>
      <c r="G3" s="7"/>
      <c r="H3" s="7"/>
      <c r="I3" s="8"/>
      <c r="J3" s="3"/>
      <c r="K3" s="3"/>
      <c r="L3" s="3"/>
      <c r="M3" s="3"/>
      <c r="N3" s="3"/>
      <c r="O3" s="3"/>
      <c r="P3" s="3"/>
      <c r="Q3" s="3"/>
      <c r="R3" s="3"/>
      <c r="S3" s="3"/>
      <c r="T3" s="3"/>
      <c r="U3" s="3"/>
      <c r="V3" s="3"/>
      <c r="W3" s="3"/>
      <c r="X3" s="3"/>
      <c r="Y3" s="3"/>
      <c r="Z3" s="3"/>
      <c r="AA3" s="3"/>
    </row>
    <row r="4" spans="1:27" ht="17.25" customHeight="1">
      <c r="B4" s="112" t="s">
        <v>5</v>
      </c>
      <c r="C4" s="2"/>
      <c r="D4" s="3"/>
      <c r="E4" s="3"/>
      <c r="F4" s="3"/>
      <c r="G4" s="3"/>
      <c r="H4" s="3"/>
      <c r="I4" s="3"/>
      <c r="J4" s="3"/>
      <c r="K4" s="3"/>
      <c r="L4" s="3"/>
      <c r="M4" s="3"/>
      <c r="N4" s="3"/>
      <c r="O4" s="3"/>
      <c r="P4" s="3"/>
      <c r="Q4" s="3"/>
      <c r="R4" s="3"/>
      <c r="S4" s="3"/>
      <c r="T4" s="3"/>
      <c r="U4" s="3"/>
      <c r="V4" s="3"/>
      <c r="W4" s="3"/>
      <c r="X4" s="3"/>
      <c r="Y4" s="3"/>
      <c r="Z4" s="3"/>
      <c r="AA4" s="3"/>
    </row>
    <row r="5" spans="1:27" ht="17.25" customHeight="1">
      <c r="B5" s="117" t="s">
        <v>6</v>
      </c>
      <c r="C5" s="114"/>
      <c r="D5" s="114"/>
      <c r="E5" s="114"/>
      <c r="F5" s="114"/>
      <c r="G5" s="114"/>
      <c r="H5" s="114"/>
      <c r="I5" s="3"/>
      <c r="J5" s="3"/>
      <c r="K5" s="3"/>
      <c r="L5" s="3"/>
      <c r="M5" s="3"/>
      <c r="N5" s="3"/>
      <c r="O5" s="3"/>
      <c r="P5" s="3"/>
      <c r="Q5" s="3"/>
      <c r="R5" s="3"/>
      <c r="S5" s="3"/>
      <c r="T5" s="3"/>
      <c r="U5" s="3"/>
      <c r="V5" s="3"/>
      <c r="W5" s="3"/>
      <c r="X5" s="3"/>
      <c r="Y5" s="3"/>
      <c r="Z5" s="3"/>
      <c r="AA5" s="3"/>
    </row>
    <row r="6" spans="1:27" ht="21" customHeight="1">
      <c r="B6" s="118" t="s">
        <v>7</v>
      </c>
      <c r="C6" s="119"/>
      <c r="D6" s="119"/>
      <c r="E6" s="119"/>
      <c r="F6" s="119"/>
      <c r="G6" s="119"/>
      <c r="H6" s="119"/>
      <c r="I6" s="3"/>
      <c r="J6" s="3"/>
      <c r="K6" s="3"/>
      <c r="L6" s="3"/>
      <c r="M6" s="3"/>
      <c r="N6" s="3"/>
      <c r="O6" s="3"/>
      <c r="P6" s="3"/>
      <c r="Q6" s="3"/>
      <c r="R6" s="3"/>
      <c r="S6" s="3"/>
      <c r="T6" s="3"/>
      <c r="U6" s="3"/>
      <c r="V6" s="3"/>
      <c r="W6" s="3"/>
      <c r="X6" s="3"/>
      <c r="Y6" s="3"/>
      <c r="Z6" s="3"/>
      <c r="AA6" s="3"/>
    </row>
    <row r="7" spans="1:27" ht="13.5" customHeight="1">
      <c r="B7" s="120"/>
      <c r="C7" s="114"/>
      <c r="D7" s="114"/>
      <c r="E7" s="114"/>
      <c r="F7" s="114"/>
      <c r="G7" s="114"/>
      <c r="H7" s="114"/>
      <c r="I7" s="3"/>
      <c r="J7" s="3"/>
      <c r="K7" s="3"/>
      <c r="L7" s="3"/>
      <c r="M7" s="3"/>
      <c r="N7" s="3"/>
      <c r="O7" s="3"/>
      <c r="P7" s="3"/>
      <c r="Q7" s="3"/>
      <c r="R7" s="3"/>
      <c r="S7" s="3"/>
      <c r="T7" s="3"/>
      <c r="U7" s="3"/>
      <c r="V7" s="3"/>
      <c r="W7" s="3"/>
      <c r="X7" s="3"/>
      <c r="Y7" s="3"/>
      <c r="Z7" s="3"/>
      <c r="AA7" s="3"/>
    </row>
    <row r="8" spans="1:27" ht="15.75" customHeight="1">
      <c r="B8" s="121" t="s">
        <v>8</v>
      </c>
      <c r="C8" s="122"/>
      <c r="D8" s="122"/>
      <c r="E8" s="122"/>
      <c r="F8" s="122"/>
      <c r="G8" s="122"/>
      <c r="H8" s="122"/>
      <c r="I8" s="3"/>
      <c r="J8" s="3"/>
      <c r="K8" s="3"/>
      <c r="L8" s="3"/>
      <c r="M8" s="3"/>
      <c r="N8" s="3"/>
      <c r="O8" s="3"/>
      <c r="P8" s="3"/>
      <c r="Q8" s="3"/>
      <c r="R8" s="3"/>
      <c r="S8" s="3"/>
      <c r="T8" s="3"/>
      <c r="U8" s="3"/>
      <c r="V8" s="3"/>
      <c r="W8" s="3"/>
      <c r="X8" s="3"/>
      <c r="Y8" s="3"/>
      <c r="Z8" s="3"/>
      <c r="AA8" s="3"/>
    </row>
    <row r="9" spans="1:27" ht="21.75" customHeight="1">
      <c r="A9" s="123"/>
      <c r="B9" s="123" t="s">
        <v>9</v>
      </c>
      <c r="C9" s="123" t="s">
        <v>10</v>
      </c>
      <c r="D9" s="126" t="s">
        <v>11</v>
      </c>
      <c r="E9" s="129" t="s">
        <v>12</v>
      </c>
      <c r="F9" s="130"/>
      <c r="G9" s="131" t="s">
        <v>13</v>
      </c>
      <c r="H9" s="131" t="s">
        <v>14</v>
      </c>
      <c r="I9" s="113"/>
      <c r="J9" s="3"/>
      <c r="K9" s="3"/>
      <c r="L9" s="3"/>
      <c r="M9" s="3"/>
      <c r="N9" s="3"/>
      <c r="O9" s="3"/>
      <c r="P9" s="3"/>
      <c r="Q9" s="3"/>
      <c r="R9" s="3"/>
      <c r="S9" s="3"/>
      <c r="T9" s="3"/>
      <c r="U9" s="3"/>
      <c r="V9" s="3"/>
      <c r="W9" s="3"/>
      <c r="X9" s="3"/>
      <c r="Y9" s="3"/>
      <c r="Z9" s="3"/>
      <c r="AA9" s="3"/>
    </row>
    <row r="10" spans="1:27" ht="18" customHeight="1">
      <c r="A10" s="124"/>
      <c r="B10" s="124"/>
      <c r="C10" s="124"/>
      <c r="D10" s="127"/>
      <c r="E10" s="126" t="s">
        <v>15</v>
      </c>
      <c r="F10" s="126" t="s">
        <v>16</v>
      </c>
      <c r="G10" s="127"/>
      <c r="H10" s="127"/>
      <c r="I10" s="114"/>
      <c r="J10" s="3"/>
      <c r="K10" s="3"/>
      <c r="L10" s="3"/>
      <c r="M10" s="3"/>
      <c r="N10" s="3"/>
      <c r="O10" s="3"/>
      <c r="P10" s="3"/>
      <c r="Q10" s="3"/>
      <c r="R10" s="3"/>
      <c r="S10" s="3"/>
      <c r="T10" s="3"/>
      <c r="U10" s="3"/>
      <c r="V10" s="3"/>
      <c r="W10" s="3"/>
      <c r="X10" s="3"/>
      <c r="Y10" s="3"/>
      <c r="Z10" s="3"/>
      <c r="AA10" s="3"/>
    </row>
    <row r="11" spans="1:27" ht="167.25" customHeight="1">
      <c r="A11" s="125"/>
      <c r="B11" s="125"/>
      <c r="C11" s="125"/>
      <c r="D11" s="128"/>
      <c r="E11" s="128"/>
      <c r="F11" s="128"/>
      <c r="G11" s="128"/>
      <c r="H11" s="128"/>
      <c r="I11" s="114"/>
      <c r="J11" s="3"/>
      <c r="K11" s="3" t="s">
        <v>17</v>
      </c>
      <c r="L11" s="3"/>
      <c r="M11" s="3"/>
      <c r="N11" s="3"/>
      <c r="O11" s="3"/>
      <c r="P11" s="3"/>
      <c r="Q11" s="3"/>
      <c r="R11" s="3"/>
      <c r="S11" s="3"/>
      <c r="T11" s="3"/>
      <c r="U11" s="3"/>
      <c r="V11" s="3"/>
      <c r="W11" s="3"/>
      <c r="X11" s="3"/>
      <c r="Y11" s="3"/>
      <c r="Z11" s="3"/>
      <c r="AA11" s="3"/>
    </row>
    <row r="12" spans="1:27" ht="15.75" customHeight="1">
      <c r="A12" s="9">
        <v>0</v>
      </c>
      <c r="B12" s="9">
        <v>1</v>
      </c>
      <c r="C12" s="9">
        <v>2</v>
      </c>
      <c r="D12" s="9">
        <v>3</v>
      </c>
      <c r="E12" s="9">
        <v>4</v>
      </c>
      <c r="F12" s="9">
        <v>5</v>
      </c>
      <c r="G12" s="10" t="s">
        <v>18</v>
      </c>
      <c r="H12" s="10" t="s">
        <v>19</v>
      </c>
      <c r="I12" s="11"/>
      <c r="J12" s="3"/>
      <c r="K12" s="3"/>
      <c r="L12" s="3"/>
      <c r="M12" s="3"/>
      <c r="N12" s="3"/>
      <c r="O12" s="3"/>
      <c r="P12" s="3"/>
      <c r="Q12" s="3"/>
      <c r="R12" s="3"/>
      <c r="S12" s="3"/>
      <c r="T12" s="3"/>
      <c r="U12" s="3"/>
      <c r="V12" s="3"/>
      <c r="W12" s="3"/>
      <c r="X12" s="3"/>
      <c r="Y12" s="3"/>
      <c r="Z12" s="3"/>
      <c r="AA12" s="3"/>
    </row>
    <row r="13" spans="1:27" ht="18" customHeight="1">
      <c r="A13" s="15" t="s">
        <v>22</v>
      </c>
      <c r="B13" s="12" t="s">
        <v>20</v>
      </c>
      <c r="C13" s="12" t="s">
        <v>21</v>
      </c>
      <c r="D13" s="13">
        <f t="shared" ref="D13:F13" si="0">SUM(D14,D22)</f>
        <v>100</v>
      </c>
      <c r="E13" s="13">
        <f t="shared" si="0"/>
        <v>100</v>
      </c>
      <c r="F13" s="13">
        <f t="shared" si="0"/>
        <v>190</v>
      </c>
      <c r="G13" s="14">
        <f>IF(AND(D13="",F13=""),"",F13*1-D13*1)</f>
        <v>90</v>
      </c>
      <c r="H13" s="109">
        <f>IFERROR(G13/E13,"")</f>
        <v>0.9</v>
      </c>
      <c r="J13" s="11"/>
      <c r="K13" s="11"/>
      <c r="L13" s="16"/>
      <c r="M13" s="16"/>
      <c r="N13" s="16"/>
      <c r="O13" s="16"/>
      <c r="P13" s="16"/>
      <c r="Q13" s="16"/>
      <c r="R13" s="16"/>
      <c r="S13" s="16"/>
      <c r="T13" s="16"/>
      <c r="U13" s="16"/>
      <c r="V13" s="16"/>
      <c r="W13" s="16"/>
      <c r="X13" s="16"/>
      <c r="Y13" s="16"/>
      <c r="Z13" s="16"/>
      <c r="AA13" s="16"/>
    </row>
    <row r="14" spans="1:27" ht="18" customHeight="1">
      <c r="A14" s="15" t="s">
        <v>25</v>
      </c>
      <c r="B14" s="17" t="s">
        <v>23</v>
      </c>
      <c r="C14" s="18" t="s">
        <v>24</v>
      </c>
      <c r="D14" s="19">
        <f t="shared" ref="D14:F14" si="1">D15+D16</f>
        <v>50</v>
      </c>
      <c r="E14" s="20">
        <f t="shared" si="1"/>
        <v>80</v>
      </c>
      <c r="F14" s="20">
        <f t="shared" si="1"/>
        <v>120</v>
      </c>
      <c r="G14" s="21">
        <f t="shared" ref="G14:G77" si="2">IF(AND(D14="",F14=""),"",F14*1-D14*1)</f>
        <v>70</v>
      </c>
      <c r="H14" s="110">
        <f t="shared" ref="H14:H77" si="3">IFERROR(G14/E14,"")</f>
        <v>0.875</v>
      </c>
      <c r="J14" s="11"/>
      <c r="K14" s="11"/>
      <c r="L14" s="16"/>
      <c r="M14" s="16"/>
      <c r="N14" s="16"/>
      <c r="O14" s="16"/>
      <c r="P14" s="16"/>
      <c r="Q14" s="16"/>
      <c r="R14" s="16"/>
      <c r="S14" s="16"/>
      <c r="T14" s="16"/>
      <c r="U14" s="16"/>
      <c r="V14" s="16"/>
      <c r="W14" s="16"/>
      <c r="X14" s="16"/>
      <c r="Y14" s="16"/>
      <c r="Z14" s="16"/>
      <c r="AA14" s="16"/>
    </row>
    <row r="15" spans="1:27" ht="18" customHeight="1">
      <c r="A15" s="15" t="s">
        <v>27</v>
      </c>
      <c r="B15" s="92">
        <v>1</v>
      </c>
      <c r="C15" s="93" t="s">
        <v>26</v>
      </c>
      <c r="D15" s="94">
        <f t="shared" ref="D15:F15" si="4">D25-D22-D16</f>
        <v>10</v>
      </c>
      <c r="E15" s="94">
        <f t="shared" si="4"/>
        <v>40</v>
      </c>
      <c r="F15" s="95">
        <f t="shared" si="4"/>
        <v>80</v>
      </c>
      <c r="G15" s="43">
        <f t="shared" si="2"/>
        <v>70</v>
      </c>
      <c r="H15" s="108">
        <f t="shared" si="3"/>
        <v>1.75</v>
      </c>
      <c r="J15" s="11"/>
      <c r="K15" s="11"/>
      <c r="L15" s="16"/>
      <c r="M15" s="16"/>
      <c r="N15" s="16"/>
      <c r="O15" s="16"/>
      <c r="P15" s="16"/>
      <c r="Q15" s="16"/>
      <c r="R15" s="16"/>
      <c r="S15" s="16"/>
      <c r="T15" s="16"/>
      <c r="U15" s="16"/>
      <c r="V15" s="16"/>
      <c r="W15" s="16"/>
      <c r="X15" s="16"/>
      <c r="Y15" s="16"/>
      <c r="Z15" s="16"/>
      <c r="AA15" s="16"/>
    </row>
    <row r="16" spans="1:27" ht="12.75" customHeight="1">
      <c r="A16" s="15" t="s">
        <v>29</v>
      </c>
      <c r="B16" s="96">
        <v>2</v>
      </c>
      <c r="C16" s="93" t="s">
        <v>28</v>
      </c>
      <c r="D16" s="94">
        <f t="shared" ref="D16:F16" si="5">D17+D21</f>
        <v>40</v>
      </c>
      <c r="E16" s="94">
        <f t="shared" si="5"/>
        <v>40</v>
      </c>
      <c r="F16" s="94">
        <f t="shared" si="5"/>
        <v>40</v>
      </c>
      <c r="G16" s="43">
        <f t="shared" si="2"/>
        <v>0</v>
      </c>
      <c r="H16" s="108">
        <f t="shared" si="3"/>
        <v>0</v>
      </c>
      <c r="J16" s="11"/>
      <c r="K16" s="11"/>
      <c r="L16" s="16"/>
      <c r="M16" s="16"/>
      <c r="N16" s="16"/>
      <c r="O16" s="16"/>
      <c r="P16" s="16"/>
      <c r="Q16" s="16"/>
      <c r="R16" s="16"/>
      <c r="S16" s="16"/>
      <c r="T16" s="16"/>
      <c r="U16" s="16"/>
      <c r="V16" s="16"/>
      <c r="W16" s="16"/>
      <c r="X16" s="16"/>
      <c r="Y16" s="16"/>
      <c r="Z16" s="16"/>
      <c r="AA16" s="16"/>
    </row>
    <row r="17" spans="1:27" ht="18.75" customHeight="1">
      <c r="A17" s="15" t="s">
        <v>31</v>
      </c>
      <c r="B17" s="23">
        <v>2.1</v>
      </c>
      <c r="C17" s="24" t="s">
        <v>30</v>
      </c>
      <c r="D17" s="79">
        <v>30</v>
      </c>
      <c r="E17" s="80">
        <v>30</v>
      </c>
      <c r="F17" s="80">
        <v>30</v>
      </c>
      <c r="G17" s="22">
        <f t="shared" si="2"/>
        <v>0</v>
      </c>
      <c r="H17" s="108">
        <f t="shared" si="3"/>
        <v>0</v>
      </c>
      <c r="J17" s="11"/>
      <c r="K17" s="11"/>
      <c r="L17" s="16"/>
      <c r="M17" s="16"/>
      <c r="N17" s="16"/>
      <c r="O17" s="16"/>
      <c r="P17" s="16"/>
      <c r="Q17" s="16"/>
      <c r="R17" s="16"/>
      <c r="S17" s="16"/>
      <c r="T17" s="16"/>
      <c r="U17" s="16"/>
      <c r="V17" s="16"/>
      <c r="W17" s="16"/>
      <c r="X17" s="16"/>
      <c r="Y17" s="16"/>
      <c r="Z17" s="16"/>
      <c r="AA17" s="16"/>
    </row>
    <row r="18" spans="1:27" ht="18.75" customHeight="1">
      <c r="A18" s="15" t="s">
        <v>34</v>
      </c>
      <c r="B18" s="25" t="s">
        <v>32</v>
      </c>
      <c r="C18" s="26" t="s">
        <v>33</v>
      </c>
      <c r="D18" s="81">
        <v>10</v>
      </c>
      <c r="E18" s="82">
        <v>10</v>
      </c>
      <c r="F18" s="82">
        <v>10</v>
      </c>
      <c r="G18" s="22">
        <f t="shared" si="2"/>
        <v>0</v>
      </c>
      <c r="H18" s="108">
        <f t="shared" si="3"/>
        <v>0</v>
      </c>
      <c r="J18" s="11"/>
      <c r="K18" s="11"/>
      <c r="L18" s="16"/>
      <c r="M18" s="16"/>
      <c r="N18" s="16"/>
      <c r="O18" s="16"/>
      <c r="P18" s="16"/>
      <c r="Q18" s="16"/>
      <c r="R18" s="16"/>
      <c r="S18" s="16"/>
      <c r="T18" s="16"/>
      <c r="U18" s="16"/>
      <c r="V18" s="16"/>
      <c r="W18" s="16"/>
      <c r="X18" s="16"/>
      <c r="Y18" s="16"/>
      <c r="Z18" s="16"/>
      <c r="AA18" s="16"/>
    </row>
    <row r="19" spans="1:27" ht="18.75" customHeight="1">
      <c r="A19" s="15" t="s">
        <v>36</v>
      </c>
      <c r="B19" s="27"/>
      <c r="C19" s="26" t="s">
        <v>35</v>
      </c>
      <c r="D19" s="81">
        <v>0</v>
      </c>
      <c r="E19" s="82">
        <v>0</v>
      </c>
      <c r="F19" s="82">
        <v>0</v>
      </c>
      <c r="G19" s="22">
        <f t="shared" si="2"/>
        <v>0</v>
      </c>
      <c r="H19" s="108" t="str">
        <f t="shared" si="3"/>
        <v/>
      </c>
      <c r="J19" s="11"/>
      <c r="K19" s="11"/>
      <c r="L19" s="16"/>
      <c r="M19" s="16"/>
      <c r="N19" s="16"/>
      <c r="O19" s="16"/>
      <c r="P19" s="16"/>
      <c r="Q19" s="16"/>
      <c r="R19" s="16"/>
      <c r="S19" s="16"/>
      <c r="T19" s="16"/>
      <c r="U19" s="16"/>
      <c r="V19" s="16"/>
      <c r="W19" s="16"/>
      <c r="X19" s="16"/>
      <c r="Y19" s="16"/>
      <c r="Z19" s="16"/>
      <c r="AA19" s="16"/>
    </row>
    <row r="20" spans="1:27" ht="12.75" customHeight="1">
      <c r="A20" s="15" t="s">
        <v>38</v>
      </c>
      <c r="B20" s="27"/>
      <c r="C20" s="28" t="s">
        <v>37</v>
      </c>
      <c r="D20" s="81">
        <v>10</v>
      </c>
      <c r="E20" s="82">
        <v>10</v>
      </c>
      <c r="F20" s="82">
        <v>10</v>
      </c>
      <c r="G20" s="22">
        <f t="shared" si="2"/>
        <v>0</v>
      </c>
      <c r="H20" s="108">
        <f t="shared" si="3"/>
        <v>0</v>
      </c>
      <c r="J20" s="11"/>
      <c r="K20" s="11"/>
      <c r="L20" s="16"/>
      <c r="M20" s="16"/>
      <c r="N20" s="16"/>
      <c r="O20" s="16"/>
      <c r="P20" s="16"/>
      <c r="Q20" s="16"/>
      <c r="R20" s="16"/>
      <c r="S20" s="16"/>
      <c r="T20" s="16"/>
      <c r="U20" s="16"/>
      <c r="V20" s="16"/>
      <c r="W20" s="16"/>
      <c r="X20" s="16"/>
      <c r="Y20" s="16"/>
      <c r="Z20" s="16"/>
      <c r="AA20" s="16"/>
    </row>
    <row r="21" spans="1:27" ht="18.75" customHeight="1">
      <c r="A21" s="15" t="s">
        <v>40</v>
      </c>
      <c r="B21" s="27">
        <v>2.2000000000000002</v>
      </c>
      <c r="C21" s="29" t="s">
        <v>39</v>
      </c>
      <c r="D21" s="81">
        <v>10</v>
      </c>
      <c r="E21" s="82">
        <v>10</v>
      </c>
      <c r="F21" s="82">
        <v>10</v>
      </c>
      <c r="G21" s="22">
        <f t="shared" si="2"/>
        <v>0</v>
      </c>
      <c r="H21" s="108">
        <f t="shared" si="3"/>
        <v>0</v>
      </c>
      <c r="J21" s="11"/>
      <c r="K21" s="11"/>
      <c r="L21" s="16"/>
      <c r="M21" s="16"/>
      <c r="N21" s="16"/>
      <c r="O21" s="16"/>
      <c r="P21" s="16"/>
      <c r="Q21" s="16"/>
      <c r="R21" s="16"/>
      <c r="S21" s="16"/>
      <c r="T21" s="16"/>
      <c r="U21" s="16"/>
      <c r="V21" s="16"/>
      <c r="W21" s="16"/>
      <c r="X21" s="16"/>
      <c r="Y21" s="16"/>
      <c r="Z21" s="16"/>
      <c r="AA21" s="16"/>
    </row>
    <row r="22" spans="1:27" ht="18" customHeight="1">
      <c r="A22" s="15" t="s">
        <v>43</v>
      </c>
      <c r="B22" s="30" t="s">
        <v>41</v>
      </c>
      <c r="C22" s="31" t="s">
        <v>42</v>
      </c>
      <c r="D22" s="19">
        <f t="shared" ref="D22:F22" si="6">D23+D24</f>
        <v>50</v>
      </c>
      <c r="E22" s="19">
        <f t="shared" si="6"/>
        <v>20</v>
      </c>
      <c r="F22" s="19">
        <f t="shared" si="6"/>
        <v>70</v>
      </c>
      <c r="G22" s="32">
        <f t="shared" si="2"/>
        <v>20</v>
      </c>
      <c r="H22" s="110">
        <f t="shared" si="3"/>
        <v>1</v>
      </c>
      <c r="J22" s="11"/>
      <c r="K22" s="11"/>
      <c r="L22" s="16"/>
      <c r="M22" s="16"/>
      <c r="N22" s="16"/>
      <c r="O22" s="16"/>
      <c r="P22" s="16"/>
      <c r="Q22" s="16"/>
      <c r="R22" s="16"/>
      <c r="S22" s="16"/>
      <c r="T22" s="16"/>
      <c r="U22" s="16"/>
      <c r="V22" s="16"/>
      <c r="W22" s="16"/>
      <c r="X22" s="16"/>
      <c r="Y22" s="16"/>
      <c r="Z22" s="16"/>
      <c r="AA22" s="16"/>
    </row>
    <row r="23" spans="1:27" ht="18" customHeight="1">
      <c r="A23" s="15" t="s">
        <v>45</v>
      </c>
      <c r="B23" s="33" t="s">
        <v>32</v>
      </c>
      <c r="C23" s="34" t="s">
        <v>44</v>
      </c>
      <c r="D23" s="81">
        <v>40</v>
      </c>
      <c r="E23" s="82">
        <v>10</v>
      </c>
      <c r="F23" s="82">
        <v>50</v>
      </c>
      <c r="G23" s="35">
        <f t="shared" si="2"/>
        <v>10</v>
      </c>
      <c r="H23" s="108">
        <f t="shared" si="3"/>
        <v>1</v>
      </c>
      <c r="J23" s="11"/>
      <c r="K23" s="11"/>
      <c r="L23" s="16"/>
      <c r="M23" s="16"/>
      <c r="N23" s="16"/>
      <c r="O23" s="16"/>
      <c r="P23" s="16"/>
      <c r="Q23" s="16"/>
      <c r="R23" s="16"/>
      <c r="S23" s="16"/>
      <c r="T23" s="16"/>
      <c r="U23" s="16"/>
      <c r="V23" s="16"/>
      <c r="W23" s="16"/>
      <c r="X23" s="16"/>
      <c r="Y23" s="16"/>
      <c r="Z23" s="16"/>
      <c r="AA23" s="16"/>
    </row>
    <row r="24" spans="1:27" ht="18" customHeight="1">
      <c r="A24" s="15" t="s">
        <v>47</v>
      </c>
      <c r="B24" s="36"/>
      <c r="C24" s="37" t="s">
        <v>46</v>
      </c>
      <c r="D24" s="81">
        <v>10</v>
      </c>
      <c r="E24" s="82">
        <v>10</v>
      </c>
      <c r="F24" s="82">
        <v>20</v>
      </c>
      <c r="G24" s="35">
        <f t="shared" si="2"/>
        <v>10</v>
      </c>
      <c r="H24" s="108">
        <f t="shared" si="3"/>
        <v>1</v>
      </c>
      <c r="J24" s="11"/>
      <c r="K24" s="11"/>
      <c r="L24" s="16"/>
      <c r="M24" s="16"/>
      <c r="N24" s="16"/>
      <c r="O24" s="16"/>
      <c r="P24" s="16"/>
      <c r="Q24" s="16"/>
      <c r="R24" s="16"/>
      <c r="S24" s="16"/>
      <c r="T24" s="16"/>
      <c r="U24" s="16"/>
      <c r="V24" s="16"/>
      <c r="W24" s="16"/>
      <c r="X24" s="16"/>
      <c r="Y24" s="16"/>
      <c r="Z24" s="16"/>
      <c r="AA24" s="16"/>
    </row>
    <row r="25" spans="1:27" ht="12.75" customHeight="1">
      <c r="A25" s="15" t="s">
        <v>50</v>
      </c>
      <c r="B25" s="97" t="s">
        <v>48</v>
      </c>
      <c r="C25" s="97" t="s">
        <v>49</v>
      </c>
      <c r="D25" s="98">
        <f t="shared" ref="D25:F25" si="7">D26+D63+D90</f>
        <v>100</v>
      </c>
      <c r="E25" s="98">
        <f t="shared" si="7"/>
        <v>100</v>
      </c>
      <c r="F25" s="98">
        <f t="shared" si="7"/>
        <v>190</v>
      </c>
      <c r="G25" s="14">
        <f t="shared" si="2"/>
        <v>90</v>
      </c>
      <c r="H25" s="109">
        <f t="shared" si="3"/>
        <v>0.9</v>
      </c>
      <c r="J25" s="11"/>
      <c r="K25" s="11"/>
      <c r="L25" s="16"/>
      <c r="M25" s="16"/>
      <c r="N25" s="16"/>
      <c r="O25" s="16"/>
      <c r="P25" s="16"/>
      <c r="Q25" s="16"/>
      <c r="R25" s="16"/>
      <c r="S25" s="16"/>
      <c r="T25" s="16"/>
      <c r="U25" s="16"/>
      <c r="V25" s="16"/>
      <c r="W25" s="16"/>
      <c r="X25" s="16"/>
      <c r="Y25" s="16"/>
      <c r="Z25" s="16"/>
      <c r="AA25" s="16"/>
    </row>
    <row r="26" spans="1:27" ht="12.75" customHeight="1">
      <c r="A26" s="15" t="s">
        <v>52</v>
      </c>
      <c r="B26" s="99" t="s">
        <v>23</v>
      </c>
      <c r="C26" s="100" t="s">
        <v>51</v>
      </c>
      <c r="D26" s="101">
        <f t="shared" ref="D26:F26" si="8">SUM(D27:D54)+D62-D34-D49</f>
        <v>60</v>
      </c>
      <c r="E26" s="101">
        <f t="shared" si="8"/>
        <v>60</v>
      </c>
      <c r="F26" s="101">
        <f t="shared" si="8"/>
        <v>120</v>
      </c>
      <c r="G26" s="32">
        <f t="shared" si="2"/>
        <v>60</v>
      </c>
      <c r="H26" s="110">
        <f t="shared" si="3"/>
        <v>1</v>
      </c>
      <c r="J26" s="11"/>
      <c r="K26" s="11"/>
      <c r="L26" s="38"/>
      <c r="M26" s="38"/>
      <c r="N26" s="38"/>
      <c r="O26" s="38"/>
      <c r="P26" s="38"/>
      <c r="Q26" s="38"/>
      <c r="R26" s="38"/>
      <c r="S26" s="38"/>
      <c r="T26" s="38"/>
      <c r="U26" s="38"/>
      <c r="V26" s="38"/>
      <c r="W26" s="38"/>
      <c r="X26" s="38"/>
      <c r="Y26" s="38"/>
      <c r="Z26" s="38"/>
      <c r="AA26" s="38"/>
    </row>
    <row r="27" spans="1:27" ht="18" customHeight="1">
      <c r="A27" s="15" t="s">
        <v>54</v>
      </c>
      <c r="B27" s="39">
        <v>1</v>
      </c>
      <c r="C27" s="29" t="s">
        <v>53</v>
      </c>
      <c r="D27" s="81">
        <v>10</v>
      </c>
      <c r="E27" s="82">
        <v>10</v>
      </c>
      <c r="F27" s="82">
        <v>20</v>
      </c>
      <c r="G27" s="35">
        <f t="shared" si="2"/>
        <v>10</v>
      </c>
      <c r="H27" s="108">
        <f t="shared" si="3"/>
        <v>1</v>
      </c>
      <c r="J27" s="11"/>
      <c r="K27" s="11"/>
      <c r="L27" s="40"/>
      <c r="M27" s="40"/>
      <c r="N27" s="40"/>
      <c r="O27" s="40"/>
      <c r="P27" s="40"/>
      <c r="Q27" s="40"/>
      <c r="R27" s="40"/>
      <c r="S27" s="40"/>
      <c r="T27" s="40"/>
      <c r="U27" s="40"/>
      <c r="V27" s="40"/>
      <c r="W27" s="40"/>
      <c r="X27" s="40"/>
      <c r="Y27" s="40"/>
      <c r="Z27" s="40"/>
      <c r="AA27" s="40"/>
    </row>
    <row r="28" spans="1:27" ht="18" customHeight="1">
      <c r="A28" s="15" t="s">
        <v>56</v>
      </c>
      <c r="B28" s="39">
        <v>2</v>
      </c>
      <c r="C28" s="41" t="s">
        <v>55</v>
      </c>
      <c r="D28" s="81">
        <v>10</v>
      </c>
      <c r="E28" s="82">
        <v>10</v>
      </c>
      <c r="F28" s="82">
        <v>20</v>
      </c>
      <c r="G28" s="35">
        <f t="shared" si="2"/>
        <v>10</v>
      </c>
      <c r="H28" s="108">
        <f t="shared" si="3"/>
        <v>1</v>
      </c>
      <c r="J28" s="11"/>
      <c r="K28" s="11"/>
      <c r="L28" s="40"/>
      <c r="M28" s="40"/>
      <c r="N28" s="40"/>
      <c r="O28" s="40"/>
      <c r="P28" s="40"/>
      <c r="Q28" s="40"/>
      <c r="R28" s="40"/>
      <c r="S28" s="40"/>
      <c r="T28" s="40"/>
      <c r="U28" s="40"/>
      <c r="V28" s="40"/>
      <c r="W28" s="40"/>
      <c r="X28" s="40"/>
      <c r="Y28" s="40"/>
      <c r="Z28" s="40"/>
      <c r="AA28" s="40"/>
    </row>
    <row r="29" spans="1:27" ht="33" customHeight="1">
      <c r="A29" s="15" t="s">
        <v>58</v>
      </c>
      <c r="B29" s="39">
        <v>3</v>
      </c>
      <c r="C29" s="42" t="s">
        <v>57</v>
      </c>
      <c r="D29" s="81">
        <v>10</v>
      </c>
      <c r="E29" s="82">
        <v>10</v>
      </c>
      <c r="F29" s="82">
        <v>20</v>
      </c>
      <c r="G29" s="35">
        <f t="shared" si="2"/>
        <v>10</v>
      </c>
      <c r="H29" s="108">
        <f t="shared" si="3"/>
        <v>1</v>
      </c>
      <c r="J29" s="11"/>
      <c r="K29" s="11"/>
      <c r="L29" s="40"/>
      <c r="M29" s="40"/>
      <c r="N29" s="40"/>
      <c r="O29" s="40"/>
      <c r="P29" s="40"/>
      <c r="Q29" s="40"/>
      <c r="R29" s="40"/>
      <c r="S29" s="40"/>
      <c r="T29" s="40"/>
      <c r="U29" s="40"/>
      <c r="V29" s="40"/>
      <c r="W29" s="40"/>
      <c r="X29" s="40"/>
      <c r="Y29" s="40"/>
      <c r="Z29" s="40"/>
      <c r="AA29" s="40"/>
    </row>
    <row r="30" spans="1:27" ht="18" customHeight="1">
      <c r="A30" s="15" t="s">
        <v>60</v>
      </c>
      <c r="B30" s="39">
        <v>4</v>
      </c>
      <c r="C30" s="42" t="s">
        <v>59</v>
      </c>
      <c r="D30" s="83"/>
      <c r="E30" s="84"/>
      <c r="F30" s="84"/>
      <c r="G30" s="22" t="str">
        <f t="shared" si="2"/>
        <v/>
      </c>
      <c r="H30" s="108" t="str">
        <f t="shared" si="3"/>
        <v/>
      </c>
      <c r="J30" s="11"/>
      <c r="K30" s="11"/>
      <c r="L30" s="40"/>
      <c r="M30" s="40"/>
      <c r="N30" s="40"/>
      <c r="O30" s="40"/>
      <c r="P30" s="40"/>
      <c r="Q30" s="40"/>
      <c r="R30" s="40"/>
      <c r="S30" s="40"/>
      <c r="T30" s="40"/>
      <c r="U30" s="40"/>
      <c r="V30" s="40"/>
      <c r="W30" s="40"/>
      <c r="X30" s="40"/>
      <c r="Y30" s="40"/>
      <c r="Z30" s="40"/>
      <c r="AA30" s="40"/>
    </row>
    <row r="31" spans="1:27" ht="12.75" customHeight="1">
      <c r="A31" s="15" t="s">
        <v>62</v>
      </c>
      <c r="B31" s="39">
        <v>5</v>
      </c>
      <c r="C31" s="44" t="s">
        <v>61</v>
      </c>
      <c r="D31" s="83"/>
      <c r="E31" s="84"/>
      <c r="F31" s="84"/>
      <c r="G31" s="22" t="str">
        <f t="shared" si="2"/>
        <v/>
      </c>
      <c r="H31" s="108" t="str">
        <f t="shared" si="3"/>
        <v/>
      </c>
      <c r="J31" s="11"/>
      <c r="K31" s="11"/>
      <c r="L31" s="40"/>
      <c r="M31" s="40"/>
      <c r="N31" s="40"/>
      <c r="O31" s="40"/>
      <c r="P31" s="40"/>
      <c r="Q31" s="40"/>
      <c r="R31" s="40"/>
      <c r="S31" s="40"/>
      <c r="T31" s="40"/>
      <c r="U31" s="40"/>
      <c r="V31" s="40"/>
      <c r="W31" s="40"/>
      <c r="X31" s="40"/>
      <c r="Y31" s="40"/>
      <c r="Z31" s="40"/>
      <c r="AA31" s="40"/>
    </row>
    <row r="32" spans="1:27" ht="12.75" customHeight="1">
      <c r="A32" s="15" t="s">
        <v>64</v>
      </c>
      <c r="B32" s="39">
        <v>6</v>
      </c>
      <c r="C32" s="44" t="s">
        <v>63</v>
      </c>
      <c r="D32" s="83"/>
      <c r="E32" s="84"/>
      <c r="F32" s="84"/>
      <c r="G32" s="22" t="str">
        <f t="shared" si="2"/>
        <v/>
      </c>
      <c r="H32" s="108" t="str">
        <f t="shared" si="3"/>
        <v/>
      </c>
      <c r="J32" s="11"/>
      <c r="K32" s="11"/>
      <c r="L32" s="40"/>
      <c r="M32" s="40"/>
      <c r="N32" s="40"/>
      <c r="O32" s="40"/>
      <c r="P32" s="40"/>
      <c r="Q32" s="40"/>
      <c r="R32" s="40"/>
      <c r="S32" s="40"/>
      <c r="T32" s="40"/>
      <c r="U32" s="40"/>
      <c r="V32" s="40"/>
      <c r="W32" s="40"/>
      <c r="X32" s="40"/>
      <c r="Y32" s="40"/>
      <c r="Z32" s="40"/>
      <c r="AA32" s="40"/>
    </row>
    <row r="33" spans="1:27" ht="46.5" customHeight="1">
      <c r="A33" s="15" t="s">
        <v>66</v>
      </c>
      <c r="B33" s="39">
        <v>7</v>
      </c>
      <c r="C33" s="44" t="s">
        <v>65</v>
      </c>
      <c r="D33" s="83">
        <v>10</v>
      </c>
      <c r="E33" s="84">
        <v>10</v>
      </c>
      <c r="F33" s="84">
        <v>20</v>
      </c>
      <c r="G33" s="22">
        <f t="shared" si="2"/>
        <v>10</v>
      </c>
      <c r="H33" s="108">
        <f t="shared" si="3"/>
        <v>1</v>
      </c>
      <c r="J33" s="11"/>
      <c r="K33" s="11"/>
      <c r="L33" s="40"/>
      <c r="M33" s="40"/>
      <c r="N33" s="40"/>
      <c r="O33" s="40"/>
      <c r="P33" s="40"/>
      <c r="Q33" s="40"/>
      <c r="R33" s="40"/>
      <c r="S33" s="40"/>
      <c r="T33" s="40"/>
      <c r="U33" s="40"/>
      <c r="V33" s="40"/>
      <c r="W33" s="40"/>
      <c r="X33" s="40"/>
      <c r="Y33" s="40"/>
      <c r="Z33" s="40"/>
      <c r="AA33" s="40"/>
    </row>
    <row r="34" spans="1:27" ht="28.5" customHeight="1">
      <c r="A34" s="15" t="s">
        <v>68</v>
      </c>
      <c r="B34" s="45" t="s">
        <v>32</v>
      </c>
      <c r="C34" s="28" t="s">
        <v>67</v>
      </c>
      <c r="D34" s="83">
        <v>5</v>
      </c>
      <c r="E34" s="84">
        <v>5</v>
      </c>
      <c r="F34" s="84">
        <v>5</v>
      </c>
      <c r="G34" s="22">
        <f t="shared" si="2"/>
        <v>0</v>
      </c>
      <c r="H34" s="108">
        <f t="shared" si="3"/>
        <v>0</v>
      </c>
      <c r="J34" s="11"/>
      <c r="K34" s="11"/>
      <c r="L34" s="40"/>
      <c r="M34" s="40"/>
      <c r="N34" s="40"/>
      <c r="O34" s="40"/>
      <c r="P34" s="40"/>
      <c r="Q34" s="40"/>
      <c r="R34" s="40"/>
      <c r="S34" s="40"/>
      <c r="T34" s="40"/>
      <c r="U34" s="40"/>
      <c r="V34" s="40"/>
      <c r="W34" s="40"/>
      <c r="X34" s="40"/>
      <c r="Y34" s="40"/>
      <c r="Z34" s="40"/>
      <c r="AA34" s="40"/>
    </row>
    <row r="35" spans="1:27" ht="30" customHeight="1">
      <c r="A35" s="15" t="s">
        <v>70</v>
      </c>
      <c r="B35" s="39">
        <v>8</v>
      </c>
      <c r="C35" s="44" t="s">
        <v>69</v>
      </c>
      <c r="D35" s="83"/>
      <c r="E35" s="84"/>
      <c r="F35" s="84"/>
      <c r="G35" s="22" t="str">
        <f t="shared" si="2"/>
        <v/>
      </c>
      <c r="H35" s="108" t="str">
        <f t="shared" si="3"/>
        <v/>
      </c>
      <c r="J35" s="11"/>
      <c r="K35" s="11"/>
      <c r="L35" s="40"/>
      <c r="M35" s="40"/>
      <c r="N35" s="40"/>
      <c r="O35" s="40"/>
      <c r="P35" s="40"/>
      <c r="Q35" s="40"/>
      <c r="R35" s="40"/>
      <c r="S35" s="40"/>
      <c r="T35" s="40"/>
      <c r="U35" s="40"/>
      <c r="V35" s="40"/>
      <c r="W35" s="40"/>
      <c r="X35" s="40"/>
      <c r="Y35" s="40"/>
      <c r="Z35" s="40"/>
      <c r="AA35" s="40"/>
    </row>
    <row r="36" spans="1:27" ht="27.75" customHeight="1">
      <c r="A36" s="15" t="s">
        <v>72</v>
      </c>
      <c r="B36" s="39">
        <v>9</v>
      </c>
      <c r="C36" s="44" t="s">
        <v>71</v>
      </c>
      <c r="D36" s="83"/>
      <c r="E36" s="84"/>
      <c r="F36" s="84"/>
      <c r="G36" s="22" t="str">
        <f t="shared" si="2"/>
        <v/>
      </c>
      <c r="H36" s="108" t="str">
        <f t="shared" si="3"/>
        <v/>
      </c>
      <c r="J36" s="11"/>
      <c r="K36" s="11"/>
      <c r="L36" s="40"/>
      <c r="M36" s="40"/>
      <c r="N36" s="40"/>
      <c r="O36" s="40"/>
      <c r="P36" s="40"/>
      <c r="Q36" s="40"/>
      <c r="R36" s="40"/>
      <c r="S36" s="40"/>
      <c r="T36" s="40"/>
      <c r="U36" s="40"/>
      <c r="V36" s="40"/>
      <c r="W36" s="40"/>
      <c r="X36" s="40"/>
      <c r="Y36" s="40"/>
      <c r="Z36" s="40"/>
      <c r="AA36" s="40"/>
    </row>
    <row r="37" spans="1:27" ht="18" customHeight="1">
      <c r="A37" s="15" t="s">
        <v>74</v>
      </c>
      <c r="B37" s="39">
        <v>10</v>
      </c>
      <c r="C37" s="44" t="s">
        <v>73</v>
      </c>
      <c r="D37" s="83"/>
      <c r="E37" s="84"/>
      <c r="F37" s="84"/>
      <c r="G37" s="22" t="str">
        <f t="shared" si="2"/>
        <v/>
      </c>
      <c r="H37" s="108" t="str">
        <f t="shared" si="3"/>
        <v/>
      </c>
      <c r="J37" s="11"/>
      <c r="K37" s="11"/>
      <c r="L37" s="40"/>
      <c r="M37" s="40"/>
      <c r="N37" s="40"/>
      <c r="O37" s="40"/>
      <c r="P37" s="40"/>
      <c r="Q37" s="40"/>
      <c r="R37" s="40"/>
      <c r="S37" s="40"/>
      <c r="T37" s="40"/>
      <c r="U37" s="40"/>
      <c r="V37" s="40"/>
      <c r="W37" s="40"/>
      <c r="X37" s="40"/>
      <c r="Y37" s="40"/>
      <c r="Z37" s="40"/>
      <c r="AA37" s="40"/>
    </row>
    <row r="38" spans="1:27" ht="18" customHeight="1">
      <c r="A38" s="15" t="s">
        <v>76</v>
      </c>
      <c r="B38" s="39">
        <v>11</v>
      </c>
      <c r="C38" s="44" t="s">
        <v>75</v>
      </c>
      <c r="D38" s="83"/>
      <c r="E38" s="84"/>
      <c r="F38" s="84"/>
      <c r="G38" s="22" t="str">
        <f t="shared" si="2"/>
        <v/>
      </c>
      <c r="H38" s="108" t="str">
        <f t="shared" si="3"/>
        <v/>
      </c>
      <c r="J38" s="11"/>
      <c r="K38" s="11"/>
      <c r="L38" s="40"/>
      <c r="M38" s="40"/>
      <c r="N38" s="40"/>
      <c r="O38" s="40"/>
      <c r="P38" s="40"/>
      <c r="Q38" s="40"/>
      <c r="R38" s="40"/>
      <c r="S38" s="40"/>
      <c r="T38" s="40"/>
      <c r="U38" s="40"/>
      <c r="V38" s="40"/>
      <c r="W38" s="40"/>
      <c r="X38" s="40"/>
      <c r="Y38" s="40"/>
      <c r="Z38" s="40"/>
      <c r="AA38" s="40"/>
    </row>
    <row r="39" spans="1:27" ht="34.5" customHeight="1">
      <c r="A39" s="15" t="s">
        <v>78</v>
      </c>
      <c r="B39" s="39">
        <v>12</v>
      </c>
      <c r="C39" s="42" t="s">
        <v>77</v>
      </c>
      <c r="D39" s="83"/>
      <c r="E39" s="84"/>
      <c r="F39" s="84"/>
      <c r="G39" s="22" t="str">
        <f t="shared" si="2"/>
        <v/>
      </c>
      <c r="H39" s="108" t="str">
        <f t="shared" si="3"/>
        <v/>
      </c>
      <c r="J39" s="11"/>
      <c r="K39" s="11"/>
      <c r="L39" s="40"/>
      <c r="M39" s="40"/>
      <c r="N39" s="40"/>
      <c r="O39" s="40"/>
      <c r="P39" s="40"/>
      <c r="Q39" s="40"/>
      <c r="R39" s="40"/>
      <c r="S39" s="40"/>
      <c r="T39" s="40"/>
      <c r="U39" s="40"/>
      <c r="V39" s="40"/>
      <c r="W39" s="40"/>
      <c r="X39" s="40"/>
      <c r="Y39" s="40"/>
      <c r="Z39" s="40"/>
      <c r="AA39" s="40"/>
    </row>
    <row r="40" spans="1:27" ht="29.25" customHeight="1">
      <c r="A40" s="15" t="s">
        <v>80</v>
      </c>
      <c r="B40" s="39">
        <v>13</v>
      </c>
      <c r="C40" s="42" t="s">
        <v>79</v>
      </c>
      <c r="D40" s="83"/>
      <c r="E40" s="84"/>
      <c r="F40" s="84"/>
      <c r="G40" s="22" t="str">
        <f t="shared" si="2"/>
        <v/>
      </c>
      <c r="H40" s="108" t="str">
        <f t="shared" si="3"/>
        <v/>
      </c>
      <c r="J40" s="11"/>
      <c r="K40" s="11"/>
      <c r="L40" s="40"/>
      <c r="M40" s="40"/>
      <c r="N40" s="40"/>
      <c r="O40" s="40"/>
      <c r="P40" s="40"/>
      <c r="Q40" s="40"/>
      <c r="R40" s="40"/>
      <c r="S40" s="40"/>
      <c r="T40" s="40"/>
      <c r="U40" s="40"/>
      <c r="V40" s="40"/>
      <c r="W40" s="40"/>
      <c r="X40" s="40"/>
      <c r="Y40" s="40"/>
      <c r="Z40" s="40"/>
      <c r="AA40" s="40"/>
    </row>
    <row r="41" spans="1:27" ht="30" customHeight="1">
      <c r="A41" s="15" t="s">
        <v>82</v>
      </c>
      <c r="B41" s="39">
        <v>14</v>
      </c>
      <c r="C41" s="42" t="s">
        <v>81</v>
      </c>
      <c r="D41" s="83"/>
      <c r="E41" s="84"/>
      <c r="F41" s="84"/>
      <c r="G41" s="22" t="str">
        <f t="shared" si="2"/>
        <v/>
      </c>
      <c r="H41" s="108" t="str">
        <f t="shared" si="3"/>
        <v/>
      </c>
      <c r="J41" s="11"/>
      <c r="K41" s="11"/>
      <c r="L41" s="40"/>
      <c r="M41" s="40"/>
      <c r="N41" s="40"/>
      <c r="O41" s="40"/>
      <c r="P41" s="40"/>
      <c r="Q41" s="40"/>
      <c r="R41" s="40"/>
      <c r="S41" s="40"/>
      <c r="T41" s="40"/>
      <c r="U41" s="40"/>
      <c r="V41" s="40"/>
      <c r="W41" s="40"/>
      <c r="X41" s="40"/>
      <c r="Y41" s="40"/>
      <c r="Z41" s="40"/>
      <c r="AA41" s="40"/>
    </row>
    <row r="42" spans="1:27" ht="18" customHeight="1">
      <c r="A42" s="15" t="s">
        <v>84</v>
      </c>
      <c r="B42" s="39">
        <v>15</v>
      </c>
      <c r="C42" s="44" t="s">
        <v>83</v>
      </c>
      <c r="D42" s="81"/>
      <c r="E42" s="82"/>
      <c r="F42" s="82"/>
      <c r="G42" s="22" t="str">
        <f t="shared" si="2"/>
        <v/>
      </c>
      <c r="H42" s="108" t="str">
        <f t="shared" si="3"/>
        <v/>
      </c>
      <c r="J42" s="11"/>
      <c r="K42" s="11"/>
      <c r="L42" s="40"/>
      <c r="M42" s="40"/>
      <c r="N42" s="40"/>
      <c r="O42" s="40"/>
      <c r="P42" s="40"/>
      <c r="Q42" s="40"/>
      <c r="R42" s="40"/>
      <c r="S42" s="40"/>
      <c r="T42" s="40"/>
      <c r="U42" s="40"/>
      <c r="V42" s="40"/>
      <c r="W42" s="40"/>
      <c r="X42" s="40"/>
      <c r="Y42" s="40"/>
      <c r="Z42" s="40"/>
      <c r="AA42" s="40"/>
    </row>
    <row r="43" spans="1:27" ht="18" customHeight="1">
      <c r="A43" s="15" t="s">
        <v>86</v>
      </c>
      <c r="B43" s="39">
        <v>16</v>
      </c>
      <c r="C43" s="44" t="s">
        <v>85</v>
      </c>
      <c r="D43" s="83"/>
      <c r="E43" s="84"/>
      <c r="F43" s="84"/>
      <c r="G43" s="22" t="str">
        <f t="shared" si="2"/>
        <v/>
      </c>
      <c r="H43" s="108" t="str">
        <f t="shared" si="3"/>
        <v/>
      </c>
      <c r="J43" s="11"/>
      <c r="K43" s="11"/>
      <c r="L43" s="40"/>
      <c r="M43" s="40"/>
      <c r="N43" s="40"/>
      <c r="O43" s="40"/>
      <c r="P43" s="40"/>
      <c r="Q43" s="40"/>
      <c r="R43" s="40"/>
      <c r="S43" s="40"/>
      <c r="T43" s="40"/>
      <c r="U43" s="40"/>
      <c r="V43" s="40"/>
      <c r="W43" s="40"/>
      <c r="X43" s="40"/>
      <c r="Y43" s="40"/>
      <c r="Z43" s="40"/>
      <c r="AA43" s="40"/>
    </row>
    <row r="44" spans="1:27" ht="12.75" customHeight="1">
      <c r="A44" s="15" t="s">
        <v>88</v>
      </c>
      <c r="B44" s="39">
        <v>17</v>
      </c>
      <c r="C44" s="42" t="s">
        <v>87</v>
      </c>
      <c r="D44" s="83"/>
      <c r="E44" s="84"/>
      <c r="F44" s="84"/>
      <c r="G44" s="22" t="str">
        <f t="shared" si="2"/>
        <v/>
      </c>
      <c r="H44" s="108" t="str">
        <f t="shared" si="3"/>
        <v/>
      </c>
      <c r="J44" s="11"/>
      <c r="K44" s="11"/>
      <c r="L44" s="40"/>
      <c r="M44" s="40"/>
      <c r="N44" s="40"/>
      <c r="O44" s="40"/>
      <c r="P44" s="40"/>
      <c r="Q44" s="40"/>
      <c r="R44" s="40"/>
      <c r="S44" s="40"/>
      <c r="T44" s="40"/>
      <c r="U44" s="40"/>
      <c r="V44" s="40"/>
      <c r="W44" s="40"/>
      <c r="X44" s="40"/>
      <c r="Y44" s="40"/>
      <c r="Z44" s="40"/>
      <c r="AA44" s="40"/>
    </row>
    <row r="45" spans="1:27" ht="18" customHeight="1">
      <c r="A45" s="15" t="s">
        <v>90</v>
      </c>
      <c r="B45" s="39">
        <v>18</v>
      </c>
      <c r="C45" s="44" t="s">
        <v>89</v>
      </c>
      <c r="D45" s="83"/>
      <c r="E45" s="84"/>
      <c r="F45" s="84"/>
      <c r="G45" s="22" t="str">
        <f t="shared" si="2"/>
        <v/>
      </c>
      <c r="H45" s="108" t="str">
        <f t="shared" si="3"/>
        <v/>
      </c>
      <c r="J45" s="11"/>
      <c r="K45" s="11"/>
      <c r="L45" s="40"/>
      <c r="M45" s="40"/>
      <c r="N45" s="40"/>
      <c r="O45" s="40"/>
      <c r="P45" s="40"/>
      <c r="Q45" s="40"/>
      <c r="R45" s="40"/>
      <c r="S45" s="40"/>
      <c r="T45" s="40"/>
      <c r="U45" s="40"/>
      <c r="V45" s="40"/>
      <c r="W45" s="40"/>
      <c r="X45" s="40"/>
      <c r="Y45" s="40"/>
      <c r="Z45" s="40"/>
      <c r="AA45" s="40"/>
    </row>
    <row r="46" spans="1:27" ht="45" customHeight="1">
      <c r="A46" s="15" t="s">
        <v>92</v>
      </c>
      <c r="B46" s="39">
        <v>19</v>
      </c>
      <c r="C46" s="42" t="s">
        <v>91</v>
      </c>
      <c r="D46" s="83"/>
      <c r="E46" s="84"/>
      <c r="F46" s="84"/>
      <c r="G46" s="22" t="str">
        <f t="shared" si="2"/>
        <v/>
      </c>
      <c r="H46" s="108" t="str">
        <f t="shared" si="3"/>
        <v/>
      </c>
      <c r="J46" s="11"/>
      <c r="K46" s="11"/>
      <c r="L46" s="40"/>
      <c r="M46" s="40"/>
      <c r="N46" s="40"/>
      <c r="O46" s="40"/>
      <c r="P46" s="40"/>
      <c r="Q46" s="40"/>
      <c r="R46" s="40"/>
      <c r="S46" s="40"/>
      <c r="T46" s="40"/>
      <c r="U46" s="40"/>
      <c r="V46" s="40"/>
      <c r="W46" s="40"/>
      <c r="X46" s="40"/>
      <c r="Y46" s="40"/>
      <c r="Z46" s="40"/>
      <c r="AA46" s="40"/>
    </row>
    <row r="47" spans="1:27" ht="64.5" customHeight="1">
      <c r="A47" s="15" t="s">
        <v>94</v>
      </c>
      <c r="B47" s="39">
        <v>20</v>
      </c>
      <c r="C47" s="41" t="s">
        <v>93</v>
      </c>
      <c r="D47" s="81"/>
      <c r="E47" s="82"/>
      <c r="F47" s="82"/>
      <c r="G47" s="22" t="str">
        <f t="shared" si="2"/>
        <v/>
      </c>
      <c r="H47" s="108" t="str">
        <f t="shared" si="3"/>
        <v/>
      </c>
      <c r="J47" s="11"/>
      <c r="K47" s="11"/>
      <c r="L47" s="40"/>
      <c r="M47" s="40"/>
      <c r="N47" s="40"/>
      <c r="O47" s="40"/>
      <c r="P47" s="40"/>
      <c r="Q47" s="40"/>
      <c r="R47" s="40"/>
      <c r="S47" s="40"/>
      <c r="T47" s="40"/>
      <c r="U47" s="40"/>
      <c r="V47" s="40"/>
      <c r="W47" s="40"/>
      <c r="X47" s="40"/>
      <c r="Y47" s="40"/>
      <c r="Z47" s="40"/>
      <c r="AA47" s="40"/>
    </row>
    <row r="48" spans="1:27" ht="22.5" customHeight="1">
      <c r="A48" s="15" t="s">
        <v>96</v>
      </c>
      <c r="B48" s="39">
        <v>21</v>
      </c>
      <c r="C48" s="46" t="s">
        <v>95</v>
      </c>
      <c r="D48" s="83">
        <v>10</v>
      </c>
      <c r="E48" s="84">
        <v>10</v>
      </c>
      <c r="F48" s="84">
        <v>20</v>
      </c>
      <c r="G48" s="35">
        <f t="shared" si="2"/>
        <v>10</v>
      </c>
      <c r="H48" s="108">
        <f t="shared" si="3"/>
        <v>1</v>
      </c>
      <c r="J48" s="11"/>
      <c r="K48" s="11"/>
      <c r="L48" s="40"/>
      <c r="M48" s="40"/>
      <c r="N48" s="40"/>
      <c r="O48" s="40"/>
      <c r="P48" s="40"/>
      <c r="Q48" s="40"/>
      <c r="R48" s="40"/>
      <c r="S48" s="40"/>
      <c r="T48" s="40"/>
      <c r="U48" s="40"/>
      <c r="V48" s="40"/>
      <c r="W48" s="40"/>
      <c r="X48" s="40"/>
      <c r="Y48" s="40"/>
      <c r="Z48" s="40"/>
      <c r="AA48" s="40"/>
    </row>
    <row r="49" spans="1:27" ht="22.5" customHeight="1">
      <c r="A49" s="15" t="s">
        <v>98</v>
      </c>
      <c r="B49" s="39"/>
      <c r="C49" s="47" t="s">
        <v>97</v>
      </c>
      <c r="D49" s="81">
        <v>1</v>
      </c>
      <c r="E49" s="82">
        <v>1</v>
      </c>
      <c r="F49" s="82">
        <v>1</v>
      </c>
      <c r="G49" s="35">
        <f t="shared" si="2"/>
        <v>0</v>
      </c>
      <c r="H49" s="108">
        <f t="shared" si="3"/>
        <v>0</v>
      </c>
      <c r="J49" s="11"/>
      <c r="K49" s="11"/>
      <c r="L49" s="40"/>
      <c r="M49" s="40"/>
      <c r="N49" s="40"/>
      <c r="O49" s="40"/>
      <c r="P49" s="40"/>
      <c r="Q49" s="40"/>
      <c r="R49" s="40"/>
      <c r="S49" s="40"/>
      <c r="T49" s="40"/>
      <c r="U49" s="40"/>
      <c r="V49" s="40"/>
      <c r="W49" s="40"/>
      <c r="X49" s="40"/>
      <c r="Y49" s="40"/>
      <c r="Z49" s="40"/>
      <c r="AA49" s="40"/>
    </row>
    <row r="50" spans="1:27" ht="22.5" customHeight="1">
      <c r="A50" s="15" t="s">
        <v>100</v>
      </c>
      <c r="B50" s="39">
        <v>22</v>
      </c>
      <c r="C50" s="48" t="s">
        <v>99</v>
      </c>
      <c r="D50" s="81"/>
      <c r="E50" s="82"/>
      <c r="F50" s="82"/>
      <c r="G50" s="35" t="str">
        <f t="shared" si="2"/>
        <v/>
      </c>
      <c r="H50" s="108" t="str">
        <f t="shared" si="3"/>
        <v/>
      </c>
      <c r="J50" s="11"/>
      <c r="K50" s="11"/>
      <c r="L50" s="40"/>
      <c r="M50" s="40"/>
      <c r="N50" s="40"/>
      <c r="O50" s="40"/>
      <c r="P50" s="40"/>
      <c r="Q50" s="40"/>
      <c r="R50" s="40"/>
      <c r="S50" s="40"/>
      <c r="T50" s="40"/>
      <c r="U50" s="40"/>
      <c r="V50" s="40"/>
      <c r="W50" s="40"/>
      <c r="X50" s="40"/>
      <c r="Y50" s="40"/>
      <c r="Z50" s="40"/>
      <c r="AA50" s="40"/>
    </row>
    <row r="51" spans="1:27" ht="12.75" customHeight="1">
      <c r="A51" s="15" t="s">
        <v>102</v>
      </c>
      <c r="B51" s="39">
        <v>23</v>
      </c>
      <c r="C51" s="42" t="s">
        <v>101</v>
      </c>
      <c r="D51" s="81"/>
      <c r="E51" s="82"/>
      <c r="F51" s="82"/>
      <c r="G51" s="35" t="str">
        <f t="shared" si="2"/>
        <v/>
      </c>
      <c r="H51" s="108" t="str">
        <f t="shared" si="3"/>
        <v/>
      </c>
      <c r="J51" s="11"/>
      <c r="K51" s="11"/>
      <c r="L51" s="40"/>
      <c r="M51" s="40"/>
      <c r="N51" s="40"/>
      <c r="O51" s="40"/>
      <c r="P51" s="40"/>
      <c r="Q51" s="40"/>
      <c r="R51" s="40"/>
      <c r="S51" s="40"/>
      <c r="T51" s="40"/>
      <c r="U51" s="40"/>
      <c r="V51" s="40"/>
      <c r="W51" s="40"/>
      <c r="X51" s="40"/>
      <c r="Y51" s="40"/>
      <c r="Z51" s="40"/>
      <c r="AA51" s="40"/>
    </row>
    <row r="52" spans="1:27" ht="27" customHeight="1">
      <c r="A52" s="15" t="s">
        <v>104</v>
      </c>
      <c r="B52" s="39">
        <v>24</v>
      </c>
      <c r="C52" s="41" t="s">
        <v>103</v>
      </c>
      <c r="D52" s="81"/>
      <c r="E52" s="82"/>
      <c r="F52" s="82"/>
      <c r="G52" s="35" t="str">
        <f t="shared" si="2"/>
        <v/>
      </c>
      <c r="H52" s="108" t="str">
        <f t="shared" si="3"/>
        <v/>
      </c>
      <c r="J52" s="11"/>
      <c r="K52" s="11"/>
      <c r="L52" s="40"/>
      <c r="M52" s="40"/>
      <c r="N52" s="40"/>
      <c r="O52" s="40"/>
      <c r="P52" s="40"/>
      <c r="Q52" s="40"/>
      <c r="R52" s="40"/>
      <c r="S52" s="40"/>
      <c r="T52" s="40"/>
      <c r="U52" s="40"/>
      <c r="V52" s="40"/>
      <c r="W52" s="40"/>
      <c r="X52" s="40"/>
      <c r="Y52" s="40"/>
      <c r="Z52" s="40"/>
      <c r="AA52" s="40"/>
    </row>
    <row r="53" spans="1:27" ht="45" customHeight="1">
      <c r="A53" s="15" t="s">
        <v>106</v>
      </c>
      <c r="B53" s="39">
        <v>25</v>
      </c>
      <c r="C53" s="41" t="s">
        <v>105</v>
      </c>
      <c r="D53" s="81"/>
      <c r="E53" s="82"/>
      <c r="F53" s="82"/>
      <c r="G53" s="35" t="str">
        <f t="shared" si="2"/>
        <v/>
      </c>
      <c r="H53" s="108" t="str">
        <f t="shared" si="3"/>
        <v/>
      </c>
      <c r="J53" s="11"/>
      <c r="K53" s="11"/>
      <c r="L53" s="40"/>
      <c r="M53" s="40"/>
      <c r="N53" s="40"/>
      <c r="O53" s="40"/>
      <c r="P53" s="40"/>
      <c r="Q53" s="40"/>
      <c r="R53" s="40"/>
      <c r="S53" s="40"/>
      <c r="T53" s="40"/>
      <c r="U53" s="40"/>
      <c r="V53" s="40"/>
      <c r="W53" s="40"/>
      <c r="X53" s="40"/>
      <c r="Y53" s="40"/>
      <c r="Z53" s="40"/>
      <c r="AA53" s="40"/>
    </row>
    <row r="54" spans="1:27" ht="18" customHeight="1">
      <c r="A54" s="15" t="s">
        <v>108</v>
      </c>
      <c r="B54" s="102">
        <v>26</v>
      </c>
      <c r="C54" s="103" t="s">
        <v>107</v>
      </c>
      <c r="D54" s="104">
        <f t="shared" ref="D54:F54" si="9">SUM(D55:D61)</f>
        <v>10</v>
      </c>
      <c r="E54" s="104">
        <f t="shared" si="9"/>
        <v>10</v>
      </c>
      <c r="F54" s="104">
        <f t="shared" si="9"/>
        <v>20</v>
      </c>
      <c r="G54" s="49">
        <f t="shared" si="2"/>
        <v>10</v>
      </c>
      <c r="H54" s="108">
        <f t="shared" si="3"/>
        <v>1</v>
      </c>
      <c r="J54" s="11"/>
      <c r="K54" s="11"/>
      <c r="L54" s="40"/>
      <c r="M54" s="40"/>
      <c r="N54" s="40"/>
      <c r="O54" s="40"/>
      <c r="P54" s="40"/>
      <c r="Q54" s="40"/>
      <c r="R54" s="40"/>
      <c r="S54" s="40"/>
      <c r="T54" s="40"/>
      <c r="U54" s="40"/>
      <c r="V54" s="40"/>
      <c r="W54" s="40"/>
      <c r="X54" s="40"/>
      <c r="Y54" s="40"/>
      <c r="Z54" s="40"/>
      <c r="AA54" s="40"/>
    </row>
    <row r="55" spans="1:27" ht="18" customHeight="1">
      <c r="A55" s="15" t="s">
        <v>110</v>
      </c>
      <c r="B55" s="45" t="s">
        <v>32</v>
      </c>
      <c r="C55" s="50" t="s">
        <v>109</v>
      </c>
      <c r="D55" s="81">
        <v>5</v>
      </c>
      <c r="E55" s="82">
        <v>5</v>
      </c>
      <c r="F55" s="82">
        <v>10</v>
      </c>
      <c r="G55" s="35">
        <f t="shared" si="2"/>
        <v>5</v>
      </c>
      <c r="H55" s="108">
        <f t="shared" si="3"/>
        <v>1</v>
      </c>
      <c r="J55" s="11"/>
      <c r="K55" s="11"/>
      <c r="L55" s="51"/>
      <c r="M55" s="51"/>
      <c r="N55" s="51"/>
      <c r="O55" s="51"/>
      <c r="P55" s="51"/>
      <c r="Q55" s="51"/>
      <c r="R55" s="51"/>
      <c r="S55" s="51"/>
      <c r="T55" s="51"/>
      <c r="U55" s="51"/>
      <c r="V55" s="51"/>
      <c r="W55" s="51"/>
      <c r="X55" s="51"/>
      <c r="Y55" s="51"/>
      <c r="Z55" s="51"/>
      <c r="AA55" s="51"/>
    </row>
    <row r="56" spans="1:27" ht="18" customHeight="1">
      <c r="A56" s="15" t="s">
        <v>112</v>
      </c>
      <c r="B56" s="45"/>
      <c r="C56" s="50" t="s">
        <v>111</v>
      </c>
      <c r="D56" s="81"/>
      <c r="E56" s="82"/>
      <c r="F56" s="82"/>
      <c r="G56" s="35" t="str">
        <f t="shared" si="2"/>
        <v/>
      </c>
      <c r="H56" s="108" t="str">
        <f t="shared" si="3"/>
        <v/>
      </c>
      <c r="J56" s="11"/>
      <c r="K56" s="11"/>
      <c r="L56" s="51"/>
      <c r="M56" s="51"/>
      <c r="N56" s="51"/>
      <c r="O56" s="51"/>
      <c r="P56" s="51"/>
      <c r="Q56" s="51"/>
      <c r="R56" s="51"/>
      <c r="S56" s="51"/>
      <c r="T56" s="51"/>
      <c r="U56" s="51"/>
      <c r="V56" s="51"/>
      <c r="W56" s="51"/>
      <c r="X56" s="51"/>
      <c r="Y56" s="51"/>
      <c r="Z56" s="51"/>
      <c r="AA56" s="51"/>
    </row>
    <row r="57" spans="1:27" ht="18" customHeight="1">
      <c r="A57" s="15" t="s">
        <v>114</v>
      </c>
      <c r="B57" s="45"/>
      <c r="C57" s="47" t="s">
        <v>113</v>
      </c>
      <c r="D57" s="81">
        <v>5</v>
      </c>
      <c r="E57" s="82">
        <v>5</v>
      </c>
      <c r="F57" s="82">
        <v>10</v>
      </c>
      <c r="G57" s="35">
        <f t="shared" si="2"/>
        <v>5</v>
      </c>
      <c r="H57" s="108">
        <f t="shared" si="3"/>
        <v>1</v>
      </c>
      <c r="J57" s="11"/>
      <c r="K57" s="11"/>
      <c r="L57" s="51"/>
      <c r="M57" s="51"/>
      <c r="N57" s="51"/>
      <c r="O57" s="51"/>
      <c r="P57" s="51"/>
      <c r="Q57" s="51"/>
      <c r="R57" s="51"/>
      <c r="S57" s="51"/>
      <c r="T57" s="51"/>
      <c r="U57" s="51"/>
      <c r="V57" s="51"/>
      <c r="W57" s="51"/>
      <c r="X57" s="51"/>
      <c r="Y57" s="51"/>
      <c r="Z57" s="51"/>
      <c r="AA57" s="51"/>
    </row>
    <row r="58" spans="1:27" ht="18" customHeight="1">
      <c r="A58" s="15" t="s">
        <v>116</v>
      </c>
      <c r="B58" s="45"/>
      <c r="C58" s="47" t="s">
        <v>115</v>
      </c>
      <c r="D58" s="81"/>
      <c r="E58" s="82"/>
      <c r="F58" s="82"/>
      <c r="G58" s="35" t="str">
        <f t="shared" si="2"/>
        <v/>
      </c>
      <c r="H58" s="108" t="str">
        <f t="shared" si="3"/>
        <v/>
      </c>
      <c r="J58" s="11"/>
      <c r="K58" s="11"/>
      <c r="L58" s="51"/>
      <c r="M58" s="51"/>
      <c r="N58" s="51"/>
      <c r="O58" s="51"/>
      <c r="P58" s="51"/>
      <c r="Q58" s="51"/>
      <c r="R58" s="51"/>
      <c r="S58" s="51"/>
      <c r="T58" s="51"/>
      <c r="U58" s="51"/>
      <c r="V58" s="51"/>
      <c r="W58" s="51"/>
      <c r="X58" s="51"/>
      <c r="Y58" s="51"/>
      <c r="Z58" s="51"/>
      <c r="AA58" s="51"/>
    </row>
    <row r="59" spans="1:27" ht="18" customHeight="1">
      <c r="A59" s="15" t="s">
        <v>118</v>
      </c>
      <c r="B59" s="45"/>
      <c r="C59" s="52" t="s">
        <v>117</v>
      </c>
      <c r="D59" s="83"/>
      <c r="E59" s="84"/>
      <c r="F59" s="84"/>
      <c r="G59" s="35" t="str">
        <f t="shared" si="2"/>
        <v/>
      </c>
      <c r="H59" s="108" t="str">
        <f t="shared" si="3"/>
        <v/>
      </c>
      <c r="J59" s="11"/>
      <c r="K59" s="11"/>
      <c r="L59" s="51"/>
      <c r="M59" s="51"/>
      <c r="N59" s="51"/>
      <c r="O59" s="51"/>
      <c r="P59" s="51"/>
      <c r="Q59" s="51"/>
      <c r="R59" s="51"/>
      <c r="S59" s="51"/>
      <c r="T59" s="51"/>
      <c r="U59" s="51"/>
      <c r="V59" s="51"/>
      <c r="W59" s="51"/>
      <c r="X59" s="51"/>
      <c r="Y59" s="51"/>
      <c r="Z59" s="51"/>
      <c r="AA59" s="51"/>
    </row>
    <row r="60" spans="1:27" ht="18" customHeight="1">
      <c r="A60" s="15" t="s">
        <v>120</v>
      </c>
      <c r="B60" s="45"/>
      <c r="C60" s="52" t="s">
        <v>119</v>
      </c>
      <c r="D60" s="83"/>
      <c r="E60" s="84"/>
      <c r="F60" s="84"/>
      <c r="G60" s="35" t="str">
        <f t="shared" si="2"/>
        <v/>
      </c>
      <c r="H60" s="108" t="str">
        <f t="shared" si="3"/>
        <v/>
      </c>
      <c r="J60" s="11"/>
      <c r="K60" s="11"/>
      <c r="L60" s="51"/>
      <c r="M60" s="51"/>
      <c r="N60" s="51"/>
      <c r="O60" s="51"/>
      <c r="P60" s="51"/>
      <c r="Q60" s="51"/>
      <c r="R60" s="51"/>
      <c r="S60" s="51"/>
      <c r="T60" s="51"/>
      <c r="U60" s="51"/>
      <c r="V60" s="51"/>
      <c r="W60" s="51"/>
      <c r="X60" s="51"/>
      <c r="Y60" s="51"/>
      <c r="Z60" s="51"/>
      <c r="AA60" s="51"/>
    </row>
    <row r="61" spans="1:27" ht="18" customHeight="1">
      <c r="A61" s="15" t="s">
        <v>122</v>
      </c>
      <c r="B61" s="45"/>
      <c r="C61" s="52" t="s">
        <v>121</v>
      </c>
      <c r="D61" s="83"/>
      <c r="E61" s="84"/>
      <c r="F61" s="84"/>
      <c r="G61" s="35" t="str">
        <f t="shared" si="2"/>
        <v/>
      </c>
      <c r="H61" s="108" t="str">
        <f t="shared" si="3"/>
        <v/>
      </c>
      <c r="J61" s="11"/>
      <c r="K61" s="11"/>
      <c r="L61" s="51"/>
      <c r="M61" s="51"/>
      <c r="N61" s="51"/>
      <c r="O61" s="51"/>
      <c r="P61" s="51"/>
      <c r="Q61" s="51"/>
      <c r="R61" s="51"/>
      <c r="S61" s="51"/>
      <c r="T61" s="51"/>
      <c r="U61" s="51"/>
      <c r="V61" s="51"/>
      <c r="W61" s="51"/>
      <c r="X61" s="51"/>
      <c r="Y61" s="51"/>
      <c r="Z61" s="51"/>
      <c r="AA61" s="51"/>
    </row>
    <row r="62" spans="1:27" ht="18" customHeight="1">
      <c r="A62" s="15" t="s">
        <v>124</v>
      </c>
      <c r="B62" s="39">
        <v>27</v>
      </c>
      <c r="C62" s="53" t="s">
        <v>123</v>
      </c>
      <c r="D62" s="81"/>
      <c r="E62" s="82"/>
      <c r="F62" s="82"/>
      <c r="G62" s="35" t="str">
        <f t="shared" si="2"/>
        <v/>
      </c>
      <c r="H62" s="108" t="str">
        <f t="shared" si="3"/>
        <v/>
      </c>
      <c r="J62" s="11"/>
      <c r="K62" s="11"/>
      <c r="L62" s="51"/>
      <c r="M62" s="51"/>
      <c r="N62" s="51"/>
      <c r="O62" s="51"/>
      <c r="P62" s="51"/>
      <c r="Q62" s="51"/>
      <c r="R62" s="51"/>
      <c r="S62" s="51"/>
      <c r="T62" s="51"/>
      <c r="U62" s="51"/>
      <c r="V62" s="51"/>
      <c r="W62" s="51"/>
      <c r="X62" s="51"/>
      <c r="Y62" s="51"/>
      <c r="Z62" s="51"/>
      <c r="AA62" s="51"/>
    </row>
    <row r="63" spans="1:27" ht="12.75" customHeight="1">
      <c r="A63" s="15" t="s">
        <v>126</v>
      </c>
      <c r="B63" s="105" t="s">
        <v>41</v>
      </c>
      <c r="C63" s="106" t="s">
        <v>125</v>
      </c>
      <c r="D63" s="107">
        <f t="shared" ref="D63:F63" si="10">SUM(D64:D89)-D70-D85</f>
        <v>30</v>
      </c>
      <c r="E63" s="107">
        <f t="shared" si="10"/>
        <v>30</v>
      </c>
      <c r="F63" s="107">
        <f t="shared" si="10"/>
        <v>60</v>
      </c>
      <c r="G63" s="54">
        <f t="shared" si="2"/>
        <v>30</v>
      </c>
      <c r="H63" s="109">
        <f t="shared" si="3"/>
        <v>1</v>
      </c>
      <c r="J63" s="11"/>
      <c r="K63" s="11"/>
      <c r="L63" s="38"/>
      <c r="M63" s="38"/>
      <c r="N63" s="38"/>
      <c r="O63" s="38"/>
      <c r="P63" s="38"/>
      <c r="Q63" s="38"/>
      <c r="R63" s="38"/>
      <c r="S63" s="38"/>
      <c r="T63" s="38"/>
      <c r="U63" s="38"/>
      <c r="V63" s="38"/>
      <c r="W63" s="38"/>
      <c r="X63" s="38"/>
      <c r="Y63" s="38"/>
      <c r="Z63" s="38"/>
      <c r="AA63" s="38"/>
    </row>
    <row r="64" spans="1:27" ht="18" customHeight="1">
      <c r="A64" s="15" t="s">
        <v>127</v>
      </c>
      <c r="B64" s="39">
        <v>1</v>
      </c>
      <c r="C64" s="55" t="str">
        <f>C27</f>
        <v>Cho vay hộ nghèo theo Nghị định số 78/2002/NĐ-CP</v>
      </c>
      <c r="D64" s="81">
        <v>10</v>
      </c>
      <c r="E64" s="82">
        <v>10</v>
      </c>
      <c r="F64" s="82">
        <v>20</v>
      </c>
      <c r="G64" s="35">
        <f t="shared" si="2"/>
        <v>10</v>
      </c>
      <c r="H64" s="108">
        <f t="shared" si="3"/>
        <v>1</v>
      </c>
      <c r="J64" s="11"/>
      <c r="K64" s="11"/>
      <c r="L64" s="56"/>
      <c r="M64" s="56"/>
      <c r="N64" s="56"/>
      <c r="O64" s="56"/>
      <c r="P64" s="56"/>
      <c r="Q64" s="56"/>
      <c r="R64" s="56"/>
      <c r="S64" s="56"/>
      <c r="T64" s="56"/>
      <c r="U64" s="56"/>
      <c r="V64" s="56"/>
      <c r="W64" s="56"/>
      <c r="X64" s="56"/>
      <c r="Y64" s="56"/>
      <c r="Z64" s="56"/>
      <c r="AA64" s="56"/>
    </row>
    <row r="65" spans="1:27" ht="18" customHeight="1">
      <c r="A65" s="15" t="s">
        <v>128</v>
      </c>
      <c r="B65" s="39">
        <v>2</v>
      </c>
      <c r="C65" s="41" t="s">
        <v>55</v>
      </c>
      <c r="D65" s="81"/>
      <c r="E65" s="82"/>
      <c r="F65" s="82"/>
      <c r="G65" s="35" t="str">
        <f t="shared" si="2"/>
        <v/>
      </c>
      <c r="H65" s="108" t="str">
        <f t="shared" si="3"/>
        <v/>
      </c>
      <c r="J65" s="11"/>
      <c r="K65" s="11"/>
      <c r="L65" s="56"/>
      <c r="M65" s="56"/>
      <c r="N65" s="56"/>
      <c r="O65" s="56"/>
      <c r="P65" s="56"/>
      <c r="Q65" s="56"/>
      <c r="R65" s="56"/>
      <c r="S65" s="56"/>
      <c r="T65" s="56"/>
      <c r="U65" s="56"/>
      <c r="V65" s="56"/>
      <c r="W65" s="56"/>
      <c r="X65" s="56"/>
      <c r="Y65" s="56"/>
      <c r="Z65" s="56"/>
      <c r="AA65" s="56"/>
    </row>
    <row r="66" spans="1:27" ht="12.75" customHeight="1">
      <c r="A66" s="15" t="s">
        <v>129</v>
      </c>
      <c r="B66" s="39">
        <v>3</v>
      </c>
      <c r="C66" s="42" t="str">
        <f>C29</f>
        <v>Cho vay hộ mới thoát nghèo theo Quyết định số 28/2015/QĐ-TTg</v>
      </c>
      <c r="D66" s="83"/>
      <c r="E66" s="84"/>
      <c r="F66" s="84"/>
      <c r="G66" s="35" t="str">
        <f t="shared" si="2"/>
        <v/>
      </c>
      <c r="H66" s="108" t="str">
        <f t="shared" si="3"/>
        <v/>
      </c>
      <c r="J66" s="11"/>
      <c r="K66" s="11"/>
      <c r="L66" s="56"/>
      <c r="M66" s="56"/>
      <c r="N66" s="56"/>
      <c r="O66" s="56"/>
      <c r="P66" s="56"/>
      <c r="Q66" s="56"/>
      <c r="R66" s="56"/>
      <c r="S66" s="56"/>
      <c r="T66" s="56"/>
      <c r="U66" s="56"/>
      <c r="V66" s="56"/>
      <c r="W66" s="56"/>
      <c r="X66" s="56"/>
      <c r="Y66" s="56"/>
      <c r="Z66" s="56"/>
      <c r="AA66" s="56"/>
    </row>
    <row r="67" spans="1:27" ht="18" customHeight="1">
      <c r="A67" s="15" t="s">
        <v>131</v>
      </c>
      <c r="B67" s="39">
        <v>4</v>
      </c>
      <c r="C67" s="42" t="s">
        <v>130</v>
      </c>
      <c r="D67" s="83"/>
      <c r="E67" s="84"/>
      <c r="F67" s="84"/>
      <c r="G67" s="35" t="str">
        <f t="shared" si="2"/>
        <v/>
      </c>
      <c r="H67" s="108" t="str">
        <f t="shared" si="3"/>
        <v/>
      </c>
      <c r="J67" s="11"/>
      <c r="K67" s="11"/>
      <c r="L67" s="56"/>
      <c r="M67" s="56"/>
      <c r="N67" s="56"/>
      <c r="O67" s="56"/>
      <c r="P67" s="56"/>
      <c r="Q67" s="56"/>
      <c r="R67" s="56"/>
      <c r="S67" s="56"/>
      <c r="T67" s="56"/>
      <c r="U67" s="56"/>
      <c r="V67" s="56"/>
      <c r="W67" s="56"/>
      <c r="X67" s="56"/>
      <c r="Y67" s="56"/>
      <c r="Z67" s="56"/>
      <c r="AA67" s="56"/>
    </row>
    <row r="68" spans="1:27" ht="30" customHeight="1">
      <c r="A68" s="15" t="s">
        <v>133</v>
      </c>
      <c r="B68" s="39">
        <v>5</v>
      </c>
      <c r="C68" s="44" t="s">
        <v>132</v>
      </c>
      <c r="D68" s="81"/>
      <c r="E68" s="82"/>
      <c r="F68" s="82"/>
      <c r="G68" s="35" t="str">
        <f t="shared" si="2"/>
        <v/>
      </c>
      <c r="H68" s="108" t="str">
        <f t="shared" si="3"/>
        <v/>
      </c>
      <c r="J68" s="11"/>
      <c r="K68" s="11"/>
      <c r="L68" s="56"/>
      <c r="M68" s="56"/>
      <c r="N68" s="56"/>
      <c r="O68" s="56"/>
      <c r="P68" s="56"/>
      <c r="Q68" s="56"/>
      <c r="R68" s="56"/>
      <c r="S68" s="56"/>
      <c r="T68" s="56"/>
      <c r="U68" s="56"/>
      <c r="V68" s="56"/>
      <c r="W68" s="56"/>
      <c r="X68" s="56"/>
      <c r="Y68" s="56"/>
      <c r="Z68" s="56"/>
      <c r="AA68" s="56"/>
    </row>
    <row r="69" spans="1:27" ht="45.75" customHeight="1">
      <c r="A69" s="15" t="s">
        <v>134</v>
      </c>
      <c r="B69" s="39">
        <v>6</v>
      </c>
      <c r="C69" s="42" t="str">
        <f>C33</f>
        <v>Cho vay người lao động đi làm việc ở nước ngoài theo Quyết định số 365/QĐ-NHNN, Quyết định số 1465/QĐ-TTg, Quyết định số 63/2015/QĐ-TTg và Nghị định số 61/2015/NĐ-CP</v>
      </c>
      <c r="D69" s="83">
        <v>10</v>
      </c>
      <c r="E69" s="84">
        <v>10</v>
      </c>
      <c r="F69" s="84">
        <v>20</v>
      </c>
      <c r="G69" s="22">
        <f t="shared" si="2"/>
        <v>10</v>
      </c>
      <c r="H69" s="108">
        <f t="shared" si="3"/>
        <v>1</v>
      </c>
      <c r="J69" s="11"/>
      <c r="K69" s="11"/>
      <c r="L69" s="56"/>
      <c r="M69" s="56"/>
      <c r="N69" s="56"/>
      <c r="O69" s="56"/>
      <c r="P69" s="56"/>
      <c r="Q69" s="56"/>
      <c r="R69" s="56"/>
      <c r="S69" s="56"/>
      <c r="T69" s="56"/>
      <c r="U69" s="56"/>
      <c r="V69" s="56"/>
      <c r="W69" s="56"/>
      <c r="X69" s="56"/>
      <c r="Y69" s="56"/>
      <c r="Z69" s="56"/>
      <c r="AA69" s="56"/>
    </row>
    <row r="70" spans="1:27" ht="12.75" customHeight="1">
      <c r="A70" s="15" t="s">
        <v>135</v>
      </c>
      <c r="B70" s="45" t="s">
        <v>32</v>
      </c>
      <c r="C70" s="28" t="s">
        <v>67</v>
      </c>
      <c r="D70" s="83">
        <v>5</v>
      </c>
      <c r="E70" s="84">
        <v>5</v>
      </c>
      <c r="F70" s="84">
        <v>5</v>
      </c>
      <c r="G70" s="22">
        <f t="shared" si="2"/>
        <v>0</v>
      </c>
      <c r="H70" s="108">
        <f t="shared" si="3"/>
        <v>0</v>
      </c>
      <c r="J70" s="11"/>
      <c r="K70" s="11"/>
      <c r="L70" s="56"/>
      <c r="M70" s="56"/>
      <c r="N70" s="56"/>
      <c r="O70" s="56"/>
      <c r="P70" s="56"/>
      <c r="Q70" s="56"/>
      <c r="R70" s="56"/>
      <c r="S70" s="56"/>
      <c r="T70" s="56"/>
      <c r="U70" s="56"/>
      <c r="V70" s="56"/>
      <c r="W70" s="56"/>
      <c r="X70" s="56"/>
      <c r="Y70" s="56"/>
      <c r="Z70" s="56"/>
      <c r="AA70" s="56"/>
    </row>
    <row r="71" spans="1:27" ht="18" customHeight="1">
      <c r="A71" s="15" t="s">
        <v>137</v>
      </c>
      <c r="B71" s="39">
        <v>7</v>
      </c>
      <c r="C71" s="42" t="s">
        <v>136</v>
      </c>
      <c r="D71" s="83"/>
      <c r="E71" s="84"/>
      <c r="F71" s="84"/>
      <c r="G71" s="22" t="str">
        <f t="shared" si="2"/>
        <v/>
      </c>
      <c r="H71" s="108" t="str">
        <f t="shared" si="3"/>
        <v/>
      </c>
      <c r="J71" s="11"/>
      <c r="K71" s="11"/>
      <c r="L71" s="56"/>
      <c r="M71" s="56"/>
      <c r="N71" s="56"/>
      <c r="O71" s="56"/>
      <c r="P71" s="56"/>
      <c r="Q71" s="56"/>
      <c r="R71" s="56"/>
      <c r="S71" s="56"/>
      <c r="T71" s="56"/>
      <c r="U71" s="56"/>
      <c r="V71" s="56"/>
      <c r="W71" s="56"/>
      <c r="X71" s="56"/>
      <c r="Y71" s="56"/>
      <c r="Z71" s="56"/>
      <c r="AA71" s="56"/>
    </row>
    <row r="72" spans="1:27" ht="12.75" customHeight="1">
      <c r="A72" s="15" t="s">
        <v>138</v>
      </c>
      <c r="B72" s="39">
        <v>8</v>
      </c>
      <c r="C72" s="42" t="str">
        <f>C36</f>
        <v>Cho vay Chương trình NS&amp;VSMT nông thôn (QĐ 62/2004/QĐ-TTg)</v>
      </c>
      <c r="D72" s="83"/>
      <c r="E72" s="84"/>
      <c r="F72" s="84"/>
      <c r="G72" s="22" t="str">
        <f t="shared" si="2"/>
        <v/>
      </c>
      <c r="H72" s="108" t="str">
        <f t="shared" si="3"/>
        <v/>
      </c>
      <c r="J72" s="11"/>
      <c r="K72" s="11"/>
      <c r="L72" s="56"/>
      <c r="M72" s="56"/>
      <c r="N72" s="56"/>
      <c r="O72" s="56"/>
      <c r="P72" s="56"/>
      <c r="Q72" s="56"/>
      <c r="R72" s="56"/>
      <c r="S72" s="56"/>
      <c r="T72" s="56"/>
      <c r="U72" s="56"/>
      <c r="V72" s="56"/>
      <c r="W72" s="56"/>
      <c r="X72" s="56"/>
      <c r="Y72" s="56"/>
      <c r="Z72" s="56"/>
      <c r="AA72" s="56"/>
    </row>
    <row r="73" spans="1:27" ht="18" customHeight="1">
      <c r="A73" s="15" t="s">
        <v>140</v>
      </c>
      <c r="B73" s="39">
        <v>9</v>
      </c>
      <c r="C73" s="42" t="s">
        <v>139</v>
      </c>
      <c r="D73" s="83"/>
      <c r="E73" s="84"/>
      <c r="F73" s="84"/>
      <c r="G73" s="22" t="str">
        <f t="shared" si="2"/>
        <v/>
      </c>
      <c r="H73" s="108" t="str">
        <f t="shared" si="3"/>
        <v/>
      </c>
      <c r="J73" s="11"/>
      <c r="K73" s="11"/>
      <c r="L73" s="56"/>
      <c r="M73" s="56"/>
      <c r="N73" s="56"/>
      <c r="O73" s="56"/>
      <c r="P73" s="56"/>
      <c r="Q73" s="56"/>
      <c r="R73" s="56"/>
      <c r="S73" s="56"/>
      <c r="T73" s="56"/>
      <c r="U73" s="56"/>
      <c r="V73" s="56"/>
      <c r="W73" s="56"/>
      <c r="X73" s="56"/>
      <c r="Y73" s="56"/>
      <c r="Z73" s="56"/>
      <c r="AA73" s="56"/>
    </row>
    <row r="74" spans="1:27" ht="18" customHeight="1">
      <c r="A74" s="15" t="s">
        <v>141</v>
      </c>
      <c r="B74" s="39">
        <v>10</v>
      </c>
      <c r="C74" s="42" t="str">
        <f>C38</f>
        <v>Cho vay mua trả chậm nhà ở vùng ĐBSCL và Tây Nguyên</v>
      </c>
      <c r="D74" s="83"/>
      <c r="E74" s="84"/>
      <c r="F74" s="84"/>
      <c r="G74" s="22" t="str">
        <f t="shared" si="2"/>
        <v/>
      </c>
      <c r="H74" s="108" t="str">
        <f t="shared" si="3"/>
        <v/>
      </c>
      <c r="J74" s="11"/>
      <c r="K74" s="11"/>
      <c r="L74" s="56"/>
      <c r="M74" s="56"/>
      <c r="N74" s="56"/>
      <c r="O74" s="56"/>
      <c r="P74" s="56"/>
      <c r="Q74" s="56"/>
      <c r="R74" s="56"/>
      <c r="S74" s="56"/>
      <c r="T74" s="56"/>
      <c r="U74" s="56"/>
      <c r="V74" s="56"/>
      <c r="W74" s="56"/>
      <c r="X74" s="56"/>
      <c r="Y74" s="56"/>
      <c r="Z74" s="56"/>
      <c r="AA74" s="56"/>
    </row>
    <row r="75" spans="1:27" ht="30.75" customHeight="1">
      <c r="A75" s="15" t="s">
        <v>143</v>
      </c>
      <c r="B75" s="39">
        <v>11</v>
      </c>
      <c r="C75" s="42" t="s">
        <v>142</v>
      </c>
      <c r="D75" s="83"/>
      <c r="E75" s="84"/>
      <c r="F75" s="84"/>
      <c r="G75" s="22" t="str">
        <f t="shared" si="2"/>
        <v/>
      </c>
      <c r="H75" s="108" t="str">
        <f t="shared" si="3"/>
        <v/>
      </c>
      <c r="J75" s="11"/>
      <c r="K75" s="11"/>
      <c r="L75" s="56"/>
      <c r="M75" s="56"/>
      <c r="N75" s="56"/>
      <c r="O75" s="56"/>
      <c r="P75" s="56"/>
      <c r="Q75" s="56"/>
      <c r="R75" s="56"/>
      <c r="S75" s="56"/>
      <c r="T75" s="56"/>
      <c r="U75" s="56"/>
      <c r="V75" s="56"/>
      <c r="W75" s="56"/>
      <c r="X75" s="56"/>
      <c r="Y75" s="56"/>
      <c r="Z75" s="56"/>
      <c r="AA75" s="56"/>
    </row>
    <row r="76" spans="1:27" ht="12.75" customHeight="1">
      <c r="A76" s="15" t="s">
        <v>144</v>
      </c>
      <c r="B76" s="39">
        <v>12</v>
      </c>
      <c r="C76" s="42" t="s">
        <v>79</v>
      </c>
      <c r="D76" s="83"/>
      <c r="E76" s="84"/>
      <c r="F76" s="84"/>
      <c r="G76" s="22" t="str">
        <f t="shared" si="2"/>
        <v/>
      </c>
      <c r="H76" s="108" t="str">
        <f t="shared" si="3"/>
        <v/>
      </c>
      <c r="J76" s="11"/>
      <c r="K76" s="11"/>
      <c r="L76" s="56"/>
      <c r="M76" s="56"/>
      <c r="N76" s="56"/>
      <c r="O76" s="56"/>
      <c r="P76" s="56"/>
      <c r="Q76" s="56"/>
      <c r="R76" s="56"/>
      <c r="S76" s="56"/>
      <c r="T76" s="56"/>
      <c r="U76" s="56"/>
      <c r="V76" s="56"/>
      <c r="W76" s="56"/>
      <c r="X76" s="56"/>
      <c r="Y76" s="56"/>
      <c r="Z76" s="56"/>
      <c r="AA76" s="56"/>
    </row>
    <row r="77" spans="1:27" ht="12.75" customHeight="1">
      <c r="A77" s="15" t="s">
        <v>145</v>
      </c>
      <c r="B77" s="39">
        <v>13</v>
      </c>
      <c r="C77" s="42" t="s">
        <v>81</v>
      </c>
      <c r="D77" s="83"/>
      <c r="E77" s="84"/>
      <c r="F77" s="84"/>
      <c r="G77" s="22" t="str">
        <f t="shared" si="2"/>
        <v/>
      </c>
      <c r="H77" s="108" t="str">
        <f t="shared" si="3"/>
        <v/>
      </c>
      <c r="J77" s="11"/>
      <c r="K77" s="11"/>
      <c r="L77" s="56"/>
      <c r="M77" s="56"/>
      <c r="N77" s="56"/>
      <c r="O77" s="56"/>
      <c r="P77" s="56"/>
      <c r="Q77" s="56"/>
      <c r="R77" s="56"/>
      <c r="S77" s="56"/>
      <c r="T77" s="56"/>
      <c r="U77" s="56"/>
      <c r="V77" s="56"/>
      <c r="W77" s="56"/>
      <c r="X77" s="56"/>
      <c r="Y77" s="56"/>
      <c r="Z77" s="56"/>
      <c r="AA77" s="56"/>
    </row>
    <row r="78" spans="1:27" ht="18" customHeight="1">
      <c r="A78" s="15" t="s">
        <v>147</v>
      </c>
      <c r="B78" s="39">
        <v>14</v>
      </c>
      <c r="C78" s="29" t="s">
        <v>146</v>
      </c>
      <c r="D78" s="83"/>
      <c r="E78" s="84"/>
      <c r="F78" s="84"/>
      <c r="G78" s="22" t="str">
        <f t="shared" ref="G78:G92" si="11">IF(AND(D78="",F78=""),"",F78*1-D78*1)</f>
        <v/>
      </c>
      <c r="H78" s="108" t="str">
        <f t="shared" ref="H78:H92" si="12">IFERROR(G78/E78,"")</f>
        <v/>
      </c>
      <c r="J78" s="11"/>
      <c r="K78" s="11"/>
      <c r="L78" s="57"/>
      <c r="M78" s="57"/>
      <c r="N78" s="57"/>
      <c r="O78" s="57"/>
      <c r="P78" s="57"/>
      <c r="Q78" s="57"/>
      <c r="R78" s="57"/>
      <c r="S78" s="57"/>
      <c r="T78" s="57"/>
      <c r="U78" s="57"/>
      <c r="V78" s="57"/>
      <c r="W78" s="57"/>
      <c r="X78" s="56"/>
      <c r="Y78" s="56"/>
      <c r="Z78" s="56"/>
      <c r="AA78" s="56"/>
    </row>
    <row r="79" spans="1:27" ht="18" customHeight="1">
      <c r="A79" s="15" t="s">
        <v>148</v>
      </c>
      <c r="B79" s="39">
        <v>15</v>
      </c>
      <c r="C79" s="42" t="str">
        <f t="shared" ref="C79:C84" si="13">C43</f>
        <v>Cho vay hỗ trợ hộ nghèo về nhà ở (QĐ 167/2008/QĐ-TTg)</v>
      </c>
      <c r="D79" s="83"/>
      <c r="E79" s="84"/>
      <c r="F79" s="84"/>
      <c r="G79" s="22" t="str">
        <f t="shared" si="11"/>
        <v/>
      </c>
      <c r="H79" s="108" t="str">
        <f t="shared" si="12"/>
        <v/>
      </c>
      <c r="J79" s="11"/>
      <c r="K79" s="11"/>
      <c r="L79" s="57"/>
      <c r="M79" s="57"/>
      <c r="N79" s="57"/>
      <c r="O79" s="57"/>
      <c r="P79" s="57"/>
      <c r="Q79" s="57"/>
      <c r="R79" s="57"/>
      <c r="S79" s="57"/>
      <c r="T79" s="57"/>
      <c r="U79" s="57"/>
      <c r="V79" s="57"/>
      <c r="W79" s="57"/>
      <c r="X79" s="56"/>
      <c r="Y79" s="56"/>
      <c r="Z79" s="56"/>
      <c r="AA79" s="56"/>
    </row>
    <row r="80" spans="1:27" ht="23.25" customHeight="1">
      <c r="A80" s="15" t="s">
        <v>149</v>
      </c>
      <c r="B80" s="39">
        <v>16</v>
      </c>
      <c r="C80" s="42" t="str">
        <f t="shared" si="13"/>
        <v xml:space="preserve">Cho vay hỗ trợ hộ nghèo về nhà ở theo QĐ 33/2015/QĐ-TTg </v>
      </c>
      <c r="D80" s="83"/>
      <c r="E80" s="84"/>
      <c r="F80" s="84"/>
      <c r="G80" s="22" t="str">
        <f t="shared" si="11"/>
        <v/>
      </c>
      <c r="H80" s="108" t="str">
        <f t="shared" si="12"/>
        <v/>
      </c>
      <c r="J80" s="11"/>
      <c r="K80" s="11"/>
      <c r="L80" s="57"/>
      <c r="M80" s="57"/>
      <c r="N80" s="57"/>
      <c r="O80" s="57"/>
      <c r="P80" s="57"/>
      <c r="Q80" s="57"/>
      <c r="R80" s="57"/>
      <c r="S80" s="57"/>
      <c r="T80" s="57"/>
      <c r="U80" s="57"/>
      <c r="V80" s="57"/>
      <c r="W80" s="57"/>
      <c r="X80" s="57"/>
      <c r="Y80" s="57"/>
      <c r="Z80" s="57"/>
      <c r="AA80" s="57"/>
    </row>
    <row r="81" spans="1:27" ht="18" customHeight="1">
      <c r="A81" s="15" t="s">
        <v>150</v>
      </c>
      <c r="B81" s="39">
        <v>17</v>
      </c>
      <c r="C81" s="42" t="str">
        <f t="shared" si="13"/>
        <v>Cho vay thương nhân tại VKK (QĐ 92/2009/QĐ-TTg)</v>
      </c>
      <c r="D81" s="83"/>
      <c r="E81" s="84"/>
      <c r="F81" s="84"/>
      <c r="G81" s="22" t="str">
        <f t="shared" si="11"/>
        <v/>
      </c>
      <c r="H81" s="108" t="str">
        <f t="shared" si="12"/>
        <v/>
      </c>
      <c r="J81" s="11"/>
      <c r="K81" s="11"/>
      <c r="L81" s="57"/>
      <c r="M81" s="57"/>
      <c r="N81" s="57"/>
      <c r="O81" s="57"/>
      <c r="P81" s="57"/>
      <c r="Q81" s="57"/>
      <c r="R81" s="57"/>
      <c r="S81" s="57"/>
      <c r="T81" s="57"/>
      <c r="U81" s="57"/>
      <c r="V81" s="57"/>
      <c r="W81" s="57"/>
      <c r="X81" s="57"/>
      <c r="Y81" s="57"/>
      <c r="Z81" s="57"/>
      <c r="AA81" s="57"/>
    </row>
    <row r="82" spans="1:27" ht="12.75" customHeight="1">
      <c r="A82" s="15" t="s">
        <v>151</v>
      </c>
      <c r="B82" s="39">
        <v>18</v>
      </c>
      <c r="C82" s="42" t="str">
        <f t="shared" si="13"/>
        <v xml:space="preserve">Cho vay hỗ trợ hộ nghèo xây dựng nhà ở phòng, tránh bão, lụt khu vực miền Trung theo QĐ 716, 48/2014/QĐ-TTg </v>
      </c>
      <c r="D82" s="83"/>
      <c r="E82" s="84"/>
      <c r="F82" s="84"/>
      <c r="G82" s="22" t="str">
        <f t="shared" si="11"/>
        <v/>
      </c>
      <c r="H82" s="108" t="str">
        <f t="shared" si="12"/>
        <v/>
      </c>
      <c r="J82" s="11"/>
      <c r="K82" s="11"/>
      <c r="L82" s="56"/>
      <c r="M82" s="56"/>
      <c r="N82" s="56"/>
      <c r="O82" s="56"/>
      <c r="P82" s="56"/>
      <c r="Q82" s="56"/>
      <c r="R82" s="56"/>
      <c r="S82" s="56"/>
      <c r="T82" s="56"/>
      <c r="U82" s="56"/>
      <c r="V82" s="56"/>
      <c r="W82" s="56"/>
      <c r="X82" s="56"/>
      <c r="Y82" s="56"/>
      <c r="Z82" s="56"/>
      <c r="AA82" s="56"/>
    </row>
    <row r="83" spans="1:27" ht="12.75" customHeight="1">
      <c r="A83" s="15" t="s">
        <v>152</v>
      </c>
      <c r="B83" s="39">
        <v>19</v>
      </c>
      <c r="C83" s="41" t="str">
        <f t="shared" si="13"/>
        <v xml:space="preserve">Cho vay đối với hộ gia đình và người nhiễm HIV, người sau cai nghiện ma túy, người điều trị nghiện các chất dạng thuốc phiện bằng thuốc thay thế, người bán dâm hoàn lương theo Quyết định số 29/2014/QĐ-TTg </v>
      </c>
      <c r="D83" s="81"/>
      <c r="E83" s="82"/>
      <c r="F83" s="82"/>
      <c r="G83" s="22" t="str">
        <f t="shared" si="11"/>
        <v/>
      </c>
      <c r="H83" s="108" t="str">
        <f t="shared" si="12"/>
        <v/>
      </c>
      <c r="J83" s="11"/>
      <c r="K83" s="11"/>
      <c r="L83" s="56"/>
      <c r="M83" s="56"/>
      <c r="N83" s="56"/>
      <c r="O83" s="56"/>
      <c r="P83" s="56"/>
      <c r="Q83" s="56"/>
      <c r="R83" s="56"/>
      <c r="S83" s="56"/>
      <c r="T83" s="56"/>
      <c r="U83" s="56"/>
      <c r="V83" s="56"/>
      <c r="W83" s="56"/>
      <c r="X83" s="56"/>
      <c r="Y83" s="56"/>
      <c r="Z83" s="56"/>
      <c r="AA83" s="56"/>
    </row>
    <row r="84" spans="1:27" ht="12.75" customHeight="1">
      <c r="A84" s="15" t="s">
        <v>153</v>
      </c>
      <c r="B84" s="39">
        <v>20</v>
      </c>
      <c r="C84" s="46" t="str">
        <f t="shared" si="13"/>
        <v>Cho vay nhà ở xã hội theo NĐ 100/2015/NĐ-CP</v>
      </c>
      <c r="D84" s="83">
        <v>10</v>
      </c>
      <c r="E84" s="84">
        <v>10</v>
      </c>
      <c r="F84" s="84">
        <v>20</v>
      </c>
      <c r="G84" s="35">
        <f t="shared" si="11"/>
        <v>10</v>
      </c>
      <c r="H84" s="108">
        <f t="shared" si="12"/>
        <v>1</v>
      </c>
      <c r="J84" s="11"/>
      <c r="K84" s="11"/>
      <c r="L84" s="56"/>
      <c r="M84" s="56"/>
      <c r="N84" s="56"/>
      <c r="O84" s="56"/>
      <c r="P84" s="56"/>
      <c r="Q84" s="56"/>
      <c r="R84" s="56"/>
      <c r="S84" s="56"/>
      <c r="T84" s="56"/>
      <c r="U84" s="56"/>
      <c r="V84" s="56"/>
      <c r="W84" s="56"/>
      <c r="X84" s="56"/>
      <c r="Y84" s="56"/>
      <c r="Z84" s="56"/>
      <c r="AA84" s="56"/>
    </row>
    <row r="85" spans="1:27" ht="12.75" customHeight="1">
      <c r="A85" s="15" t="s">
        <v>154</v>
      </c>
      <c r="B85" s="39"/>
      <c r="C85" s="58" t="s">
        <v>97</v>
      </c>
      <c r="D85" s="83">
        <v>5</v>
      </c>
      <c r="E85" s="84">
        <v>5</v>
      </c>
      <c r="F85" s="84">
        <v>5</v>
      </c>
      <c r="G85" s="35">
        <f t="shared" si="11"/>
        <v>0</v>
      </c>
      <c r="H85" s="108">
        <f t="shared" si="12"/>
        <v>0</v>
      </c>
      <c r="J85" s="11"/>
      <c r="K85" s="11"/>
      <c r="L85" s="56"/>
      <c r="M85" s="56"/>
      <c r="N85" s="56"/>
      <c r="O85" s="56"/>
      <c r="P85" s="56"/>
      <c r="Q85" s="56"/>
      <c r="R85" s="56"/>
      <c r="S85" s="56"/>
      <c r="T85" s="56"/>
      <c r="U85" s="56"/>
      <c r="V85" s="56"/>
      <c r="W85" s="56"/>
      <c r="X85" s="56"/>
      <c r="Y85" s="56"/>
      <c r="Z85" s="56"/>
      <c r="AA85" s="56"/>
    </row>
    <row r="86" spans="1:27" ht="12.75" customHeight="1">
      <c r="A86" s="15" t="s">
        <v>155</v>
      </c>
      <c r="B86" s="39">
        <v>21</v>
      </c>
      <c r="C86" s="41" t="s">
        <v>101</v>
      </c>
      <c r="D86" s="81"/>
      <c r="E86" s="82"/>
      <c r="F86" s="82"/>
      <c r="G86" s="35" t="str">
        <f t="shared" si="11"/>
        <v/>
      </c>
      <c r="H86" s="108" t="str">
        <f t="shared" si="12"/>
        <v/>
      </c>
      <c r="J86" s="11"/>
      <c r="K86" s="11"/>
      <c r="L86" s="56"/>
      <c r="M86" s="56"/>
      <c r="N86" s="56"/>
      <c r="O86" s="56"/>
      <c r="P86" s="56"/>
      <c r="Q86" s="56"/>
      <c r="R86" s="56"/>
      <c r="S86" s="56"/>
      <c r="T86" s="56"/>
      <c r="U86" s="56"/>
      <c r="V86" s="56"/>
      <c r="W86" s="56"/>
      <c r="X86" s="56"/>
      <c r="Y86" s="56"/>
      <c r="Z86" s="56"/>
      <c r="AA86" s="56"/>
    </row>
    <row r="87" spans="1:27" ht="12.75" customHeight="1">
      <c r="A87" s="15" t="s">
        <v>156</v>
      </c>
      <c r="B87" s="39">
        <v>22</v>
      </c>
      <c r="C87" s="41" t="str">
        <f t="shared" ref="C87:C88" si="14">C52</f>
        <v xml:space="preserve">Cho vay trồng rừng sản xuất, phát triển chăn nuôi theo NĐ 75/2015/NĐ-CP </v>
      </c>
      <c r="D87" s="81"/>
      <c r="E87" s="82"/>
      <c r="F87" s="82"/>
      <c r="G87" s="35" t="str">
        <f t="shared" si="11"/>
        <v/>
      </c>
      <c r="H87" s="108" t="str">
        <f t="shared" si="12"/>
        <v/>
      </c>
      <c r="J87" s="11"/>
      <c r="K87" s="11"/>
      <c r="L87" s="56"/>
      <c r="M87" s="56"/>
      <c r="N87" s="56"/>
      <c r="O87" s="56"/>
      <c r="P87" s="56"/>
      <c r="Q87" s="56"/>
      <c r="R87" s="56"/>
      <c r="S87" s="56"/>
      <c r="T87" s="56"/>
      <c r="U87" s="56"/>
      <c r="V87" s="56"/>
      <c r="W87" s="56"/>
      <c r="X87" s="56"/>
      <c r="Y87" s="56"/>
      <c r="Z87" s="56"/>
      <c r="AA87" s="56"/>
    </row>
    <row r="88" spans="1:27" ht="12.75" customHeight="1">
      <c r="A88" s="15" t="s">
        <v>157</v>
      </c>
      <c r="B88" s="39">
        <v>23</v>
      </c>
      <c r="C88" s="41" t="str">
        <f t="shared" si="14"/>
        <v>Cho vay hỗ trợ phát triển kinh tế - xã hội vùng dân tộc thiểu số và miền núi giai đoạn 2017 - 2020 theo Quyết định số 2085/QĐ-TTg</v>
      </c>
      <c r="D88" s="81"/>
      <c r="E88" s="82"/>
      <c r="F88" s="82"/>
      <c r="G88" s="35" t="str">
        <f t="shared" si="11"/>
        <v/>
      </c>
      <c r="H88" s="108" t="str">
        <f t="shared" si="12"/>
        <v/>
      </c>
      <c r="J88" s="11"/>
      <c r="K88" s="11"/>
      <c r="L88" s="56"/>
      <c r="M88" s="56"/>
      <c r="N88" s="56"/>
      <c r="O88" s="56"/>
      <c r="P88" s="56"/>
      <c r="Q88" s="56"/>
      <c r="R88" s="56"/>
      <c r="S88" s="56"/>
      <c r="T88" s="56"/>
      <c r="U88" s="56"/>
      <c r="V88" s="56"/>
      <c r="W88" s="56"/>
      <c r="X88" s="56"/>
      <c r="Y88" s="56"/>
      <c r="Z88" s="56"/>
      <c r="AA88" s="56"/>
    </row>
    <row r="89" spans="1:27" ht="18" customHeight="1">
      <c r="A89" s="15" t="s">
        <v>158</v>
      </c>
      <c r="B89" s="39">
        <v>24</v>
      </c>
      <c r="C89" s="53" t="s">
        <v>123</v>
      </c>
      <c r="D89" s="81"/>
      <c r="E89" s="82"/>
      <c r="F89" s="82"/>
      <c r="G89" s="35" t="str">
        <f t="shared" si="11"/>
        <v/>
      </c>
      <c r="H89" s="108" t="str">
        <f t="shared" si="12"/>
        <v/>
      </c>
      <c r="J89" s="11"/>
      <c r="K89" s="11"/>
      <c r="L89" s="56"/>
      <c r="M89" s="56"/>
      <c r="N89" s="56"/>
      <c r="O89" s="56"/>
      <c r="P89" s="56"/>
      <c r="Q89" s="56"/>
      <c r="R89" s="56"/>
      <c r="S89" s="56"/>
      <c r="T89" s="56"/>
      <c r="U89" s="56"/>
      <c r="V89" s="56"/>
      <c r="W89" s="56"/>
      <c r="X89" s="56"/>
      <c r="Y89" s="56"/>
      <c r="Z89" s="56"/>
      <c r="AA89" s="56"/>
    </row>
    <row r="90" spans="1:27" ht="12.75" customHeight="1">
      <c r="A90" s="15" t="s">
        <v>161</v>
      </c>
      <c r="B90" s="59" t="s">
        <v>159</v>
      </c>
      <c r="C90" s="60" t="s">
        <v>160</v>
      </c>
      <c r="D90" s="54">
        <f t="shared" ref="D90:F90" si="15">D92+D91</f>
        <v>10</v>
      </c>
      <c r="E90" s="54">
        <f t="shared" si="15"/>
        <v>10</v>
      </c>
      <c r="F90" s="54">
        <f t="shared" si="15"/>
        <v>10</v>
      </c>
      <c r="G90" s="54">
        <f t="shared" si="11"/>
        <v>0</v>
      </c>
      <c r="H90" s="109">
        <f t="shared" si="12"/>
        <v>0</v>
      </c>
      <c r="J90" s="11"/>
      <c r="K90" s="11"/>
      <c r="L90" s="38"/>
      <c r="M90" s="38"/>
      <c r="N90" s="38"/>
      <c r="O90" s="38"/>
      <c r="P90" s="38"/>
      <c r="Q90" s="38"/>
      <c r="R90" s="38"/>
      <c r="S90" s="38"/>
      <c r="T90" s="38"/>
      <c r="U90" s="38"/>
      <c r="V90" s="38"/>
      <c r="W90" s="38"/>
      <c r="X90" s="38"/>
      <c r="Y90" s="38"/>
      <c r="Z90" s="38"/>
      <c r="AA90" s="38"/>
    </row>
    <row r="91" spans="1:27" ht="18" customHeight="1">
      <c r="A91" s="15" t="s">
        <v>163</v>
      </c>
      <c r="B91" s="61" t="s">
        <v>32</v>
      </c>
      <c r="C91" s="62" t="s">
        <v>162</v>
      </c>
      <c r="D91" s="81">
        <v>1</v>
      </c>
      <c r="E91" s="82">
        <v>1</v>
      </c>
      <c r="F91" s="82">
        <v>1</v>
      </c>
      <c r="G91" s="35">
        <f t="shared" si="11"/>
        <v>0</v>
      </c>
      <c r="H91" s="108">
        <f t="shared" si="12"/>
        <v>0</v>
      </c>
      <c r="J91" s="11"/>
      <c r="K91" s="11"/>
      <c r="L91" s="63"/>
      <c r="M91" s="63"/>
      <c r="N91" s="63"/>
      <c r="O91" s="63"/>
      <c r="P91" s="63"/>
      <c r="Q91" s="63"/>
      <c r="R91" s="63"/>
      <c r="S91" s="63"/>
      <c r="T91" s="63"/>
      <c r="U91" s="63"/>
      <c r="V91" s="63"/>
      <c r="W91" s="63"/>
      <c r="X91" s="63"/>
      <c r="Y91" s="63"/>
      <c r="Z91" s="63"/>
      <c r="AA91" s="63"/>
    </row>
    <row r="92" spans="1:27" ht="18" customHeight="1">
      <c r="A92" s="15" t="s">
        <v>165</v>
      </c>
      <c r="B92" s="64"/>
      <c r="C92" s="65" t="s">
        <v>164</v>
      </c>
      <c r="D92" s="85">
        <v>9</v>
      </c>
      <c r="E92" s="86">
        <v>9</v>
      </c>
      <c r="F92" s="86">
        <v>9</v>
      </c>
      <c r="G92" s="66">
        <f t="shared" si="11"/>
        <v>0</v>
      </c>
      <c r="H92" s="111">
        <f t="shared" si="12"/>
        <v>0</v>
      </c>
      <c r="J92" s="11"/>
      <c r="K92" s="11"/>
      <c r="L92" s="63"/>
      <c r="M92" s="63"/>
      <c r="N92" s="63"/>
      <c r="O92" s="63"/>
      <c r="P92" s="63"/>
      <c r="Q92" s="63"/>
      <c r="R92" s="63"/>
      <c r="S92" s="63"/>
      <c r="T92" s="63"/>
      <c r="U92" s="63"/>
      <c r="V92" s="63"/>
      <c r="W92" s="63"/>
      <c r="X92" s="63"/>
      <c r="Y92" s="63"/>
      <c r="Z92" s="63"/>
      <c r="AA92" s="63"/>
    </row>
    <row r="93" spans="1:27" ht="12.75" customHeight="1">
      <c r="A93" s="15" t="s">
        <v>168</v>
      </c>
      <c r="B93" s="67" t="s">
        <v>166</v>
      </c>
      <c r="C93" s="140" t="s">
        <v>167</v>
      </c>
      <c r="D93" s="141"/>
      <c r="E93" s="141"/>
      <c r="F93" s="141"/>
      <c r="G93" s="141"/>
      <c r="H93" s="142"/>
      <c r="J93" s="11"/>
      <c r="K93" s="11"/>
      <c r="L93" s="38"/>
      <c r="M93" s="38"/>
      <c r="N93" s="38"/>
      <c r="O93" s="38"/>
      <c r="P93" s="38"/>
      <c r="Q93" s="38"/>
      <c r="R93" s="38"/>
      <c r="S93" s="38"/>
      <c r="T93" s="38"/>
      <c r="U93" s="38"/>
      <c r="V93" s="38"/>
      <c r="W93" s="38"/>
      <c r="X93" s="38"/>
      <c r="Y93" s="38"/>
      <c r="Z93" s="38"/>
      <c r="AA93" s="38"/>
    </row>
    <row r="94" spans="1:27" ht="12.75" customHeight="1">
      <c r="A94" s="15" t="s">
        <v>170</v>
      </c>
      <c r="B94" s="68">
        <v>1</v>
      </c>
      <c r="C94" s="69" t="s">
        <v>169</v>
      </c>
      <c r="D94" s="43"/>
      <c r="E94" s="43"/>
      <c r="F94" s="146"/>
      <c r="G94" s="43"/>
      <c r="H94" s="43"/>
      <c r="J94" s="11"/>
      <c r="K94" s="11"/>
      <c r="L94" s="38"/>
      <c r="M94" s="38"/>
      <c r="N94" s="38"/>
      <c r="O94" s="38"/>
      <c r="P94" s="38"/>
      <c r="Q94" s="38"/>
      <c r="R94" s="38"/>
      <c r="S94" s="38"/>
      <c r="T94" s="38"/>
      <c r="U94" s="38"/>
      <c r="V94" s="38"/>
      <c r="W94" s="38"/>
      <c r="X94" s="38"/>
      <c r="Y94" s="38"/>
      <c r="Z94" s="38"/>
      <c r="AA94" s="38"/>
    </row>
    <row r="95" spans="1:27" ht="12.75" customHeight="1">
      <c r="A95" s="15" t="s">
        <v>172</v>
      </c>
      <c r="B95" s="39">
        <v>2</v>
      </c>
      <c r="C95" s="70" t="s">
        <v>171</v>
      </c>
      <c r="D95" s="43"/>
      <c r="E95" s="43"/>
      <c r="F95" s="147"/>
      <c r="G95" s="43"/>
      <c r="H95" s="43"/>
      <c r="J95" s="11"/>
      <c r="K95" s="11"/>
      <c r="L95" s="38"/>
      <c r="M95" s="38"/>
      <c r="N95" s="38"/>
      <c r="O95" s="38"/>
      <c r="P95" s="38"/>
      <c r="Q95" s="38"/>
      <c r="R95" s="38"/>
      <c r="S95" s="38"/>
      <c r="T95" s="38"/>
      <c r="U95" s="38"/>
      <c r="V95" s="38"/>
      <c r="W95" s="38"/>
      <c r="X95" s="38"/>
      <c r="Y95" s="38"/>
      <c r="Z95" s="38"/>
      <c r="AA95" s="38"/>
    </row>
    <row r="96" spans="1:27" ht="12.75" customHeight="1">
      <c r="A96" s="15" t="s">
        <v>174</v>
      </c>
      <c r="B96" s="45"/>
      <c r="C96" s="50" t="s">
        <v>173</v>
      </c>
      <c r="D96" s="43"/>
      <c r="E96" s="43"/>
      <c r="F96" s="148"/>
      <c r="G96" s="43"/>
      <c r="H96" s="43"/>
      <c r="J96" s="11"/>
      <c r="K96" s="11"/>
      <c r="L96" s="38"/>
      <c r="M96" s="38"/>
      <c r="N96" s="38"/>
      <c r="O96" s="38"/>
      <c r="P96" s="38"/>
      <c r="Q96" s="38"/>
      <c r="R96" s="38"/>
      <c r="S96" s="38"/>
      <c r="T96" s="38"/>
      <c r="U96" s="38"/>
      <c r="V96" s="38"/>
      <c r="W96" s="38"/>
      <c r="X96" s="38"/>
      <c r="Y96" s="38"/>
      <c r="Z96" s="38"/>
      <c r="AA96" s="38"/>
    </row>
    <row r="97" spans="1:27" ht="12.75" customHeight="1">
      <c r="A97" s="15" t="s">
        <v>176</v>
      </c>
      <c r="B97" s="39">
        <v>3</v>
      </c>
      <c r="C97" s="70" t="s">
        <v>175</v>
      </c>
      <c r="D97" s="43"/>
      <c r="E97" s="43"/>
      <c r="F97" s="149"/>
      <c r="G97" s="43"/>
      <c r="H97" s="43"/>
      <c r="J97" s="11"/>
      <c r="K97" s="11"/>
      <c r="L97" s="38"/>
      <c r="M97" s="38"/>
      <c r="N97" s="38"/>
      <c r="O97" s="38"/>
      <c r="P97" s="38"/>
      <c r="Q97" s="38"/>
      <c r="R97" s="38"/>
      <c r="S97" s="38"/>
      <c r="T97" s="38"/>
      <c r="U97" s="38"/>
      <c r="V97" s="38"/>
      <c r="W97" s="38"/>
      <c r="X97" s="38"/>
      <c r="Y97" s="38"/>
      <c r="Z97" s="38"/>
      <c r="AA97" s="38"/>
    </row>
    <row r="98" spans="1:27" ht="12.75" customHeight="1">
      <c r="A98" s="15" t="s">
        <v>178</v>
      </c>
      <c r="B98" s="45"/>
      <c r="C98" s="143" t="s">
        <v>177</v>
      </c>
      <c r="D98" s="43"/>
      <c r="E98" s="43"/>
      <c r="F98" s="149"/>
      <c r="G98" s="43"/>
      <c r="H98" s="43"/>
      <c r="J98" s="11"/>
      <c r="K98" s="11"/>
      <c r="L98" s="38"/>
      <c r="M98" s="38"/>
      <c r="N98" s="38"/>
      <c r="O98" s="38"/>
      <c r="P98" s="38"/>
      <c r="Q98" s="38"/>
      <c r="R98" s="38"/>
      <c r="S98" s="38"/>
      <c r="T98" s="38"/>
      <c r="U98" s="38"/>
      <c r="V98" s="38"/>
      <c r="W98" s="38"/>
      <c r="X98" s="38"/>
      <c r="Y98" s="38"/>
      <c r="Z98" s="38"/>
      <c r="AA98" s="38"/>
    </row>
    <row r="99" spans="1:27" ht="18" customHeight="1">
      <c r="A99" s="15" t="s">
        <v>180</v>
      </c>
      <c r="B99" s="39">
        <v>4</v>
      </c>
      <c r="C99" s="70" t="s">
        <v>179</v>
      </c>
      <c r="D99" s="43"/>
      <c r="E99" s="43"/>
      <c r="F99" s="149"/>
      <c r="G99" s="43"/>
      <c r="H99" s="43"/>
      <c r="J99" s="11"/>
      <c r="K99" s="11"/>
      <c r="L99" s="40"/>
      <c r="M99" s="40"/>
      <c r="N99" s="40"/>
      <c r="O99" s="40"/>
      <c r="P99" s="40"/>
      <c r="Q99" s="40"/>
      <c r="R99" s="40"/>
      <c r="S99" s="40"/>
      <c r="T99" s="40"/>
      <c r="U99" s="40"/>
      <c r="V99" s="40"/>
      <c r="W99" s="40"/>
      <c r="X99" s="40"/>
      <c r="Y99" s="40"/>
      <c r="Z99" s="40"/>
      <c r="AA99" s="40"/>
    </row>
    <row r="100" spans="1:27" ht="12.75" customHeight="1">
      <c r="A100" s="15" t="s">
        <v>182</v>
      </c>
      <c r="B100" s="39">
        <v>5</v>
      </c>
      <c r="C100" s="144" t="s">
        <v>181</v>
      </c>
      <c r="D100" s="43"/>
      <c r="E100" s="43"/>
      <c r="F100" s="149"/>
      <c r="G100" s="43"/>
      <c r="H100" s="43"/>
      <c r="J100" s="11"/>
      <c r="K100" s="11"/>
      <c r="L100" s="40"/>
      <c r="M100" s="40"/>
      <c r="N100" s="40"/>
      <c r="O100" s="40"/>
      <c r="P100" s="40"/>
      <c r="Q100" s="40"/>
      <c r="R100" s="40"/>
      <c r="S100" s="40"/>
      <c r="T100" s="40"/>
      <c r="U100" s="40"/>
      <c r="V100" s="40"/>
      <c r="W100" s="40"/>
      <c r="X100" s="40"/>
      <c r="Y100" s="40"/>
      <c r="Z100" s="40"/>
      <c r="AA100" s="40"/>
    </row>
    <row r="101" spans="1:27" ht="15" customHeight="1">
      <c r="A101" s="15" t="s">
        <v>184</v>
      </c>
      <c r="B101" s="39">
        <v>6</v>
      </c>
      <c r="C101" s="70" t="s">
        <v>183</v>
      </c>
      <c r="D101" s="43"/>
      <c r="E101" s="43"/>
      <c r="F101" s="149"/>
      <c r="G101" s="43"/>
      <c r="H101" s="43"/>
      <c r="J101" s="11"/>
      <c r="K101" s="11"/>
      <c r="L101" s="40"/>
      <c r="M101" s="40"/>
      <c r="N101" s="40"/>
      <c r="O101" s="40"/>
      <c r="P101" s="40"/>
      <c r="Q101" s="40"/>
      <c r="R101" s="40"/>
      <c r="S101" s="40"/>
      <c r="T101" s="40"/>
      <c r="U101" s="40"/>
      <c r="V101" s="40"/>
      <c r="W101" s="40"/>
      <c r="X101" s="40"/>
      <c r="Y101" s="40"/>
      <c r="Z101" s="40"/>
      <c r="AA101" s="40"/>
    </row>
    <row r="102" spans="1:27" ht="15.75" customHeight="1">
      <c r="A102" s="78" t="s">
        <v>186</v>
      </c>
      <c r="B102" s="45"/>
      <c r="C102" s="143" t="s">
        <v>185</v>
      </c>
      <c r="D102" s="43"/>
      <c r="E102" s="43"/>
      <c r="F102" s="149"/>
      <c r="G102" s="43"/>
      <c r="H102" s="43"/>
      <c r="J102" s="11"/>
      <c r="K102" s="11"/>
      <c r="L102" s="3"/>
      <c r="M102" s="3"/>
      <c r="N102" s="3"/>
      <c r="O102" s="3"/>
      <c r="P102" s="3"/>
      <c r="Q102" s="3"/>
      <c r="R102" s="3"/>
      <c r="S102" s="3"/>
      <c r="T102" s="3"/>
      <c r="U102" s="3"/>
      <c r="V102" s="3"/>
      <c r="W102" s="3"/>
      <c r="X102" s="3"/>
      <c r="Y102" s="3"/>
      <c r="Z102" s="3"/>
      <c r="AA102" s="3"/>
    </row>
    <row r="103" spans="1:27" ht="15.75" customHeight="1">
      <c r="A103" s="15" t="s">
        <v>188</v>
      </c>
      <c r="B103" s="71"/>
      <c r="C103" s="145" t="s">
        <v>187</v>
      </c>
      <c r="D103" s="43"/>
      <c r="E103" s="43"/>
      <c r="F103" s="150"/>
      <c r="G103" s="43"/>
      <c r="H103" s="43"/>
      <c r="J103" s="11"/>
      <c r="K103" s="11"/>
      <c r="L103" s="3"/>
      <c r="M103" s="3"/>
      <c r="N103" s="3"/>
      <c r="O103" s="3"/>
      <c r="P103" s="3"/>
      <c r="Q103" s="3"/>
      <c r="R103" s="3"/>
      <c r="S103" s="3"/>
      <c r="T103" s="3"/>
      <c r="U103" s="3"/>
      <c r="V103" s="3"/>
      <c r="W103" s="3"/>
      <c r="X103" s="3"/>
      <c r="Y103" s="3"/>
      <c r="Z103" s="3"/>
      <c r="AA103" s="3"/>
    </row>
    <row r="104" spans="1:27" s="87" customFormat="1" ht="15.75" customHeight="1">
      <c r="A104" s="15" t="s">
        <v>193</v>
      </c>
      <c r="B104" s="137" t="s">
        <v>195</v>
      </c>
      <c r="C104" s="138"/>
      <c r="D104" s="138"/>
      <c r="E104" s="138"/>
      <c r="F104" s="139"/>
      <c r="G104" s="135" t="s">
        <v>194</v>
      </c>
      <c r="H104" s="136"/>
      <c r="J104" s="11"/>
      <c r="K104" s="11"/>
      <c r="L104" s="3"/>
      <c r="M104" s="3"/>
      <c r="N104" s="3"/>
      <c r="O104" s="3"/>
      <c r="P104" s="3"/>
      <c r="Q104" s="3"/>
      <c r="R104" s="3"/>
      <c r="S104" s="3"/>
      <c r="T104" s="3"/>
      <c r="U104" s="3"/>
      <c r="V104" s="3"/>
      <c r="W104" s="3"/>
      <c r="X104" s="3"/>
      <c r="Y104" s="3"/>
      <c r="Z104" s="3"/>
      <c r="AA104" s="3"/>
    </row>
    <row r="105" spans="1:27" s="87" customFormat="1" ht="15.75" customHeight="1">
      <c r="B105" s="88"/>
      <c r="C105" s="91"/>
      <c r="D105" s="91"/>
      <c r="E105" s="91"/>
      <c r="F105" s="91"/>
      <c r="G105" s="89"/>
      <c r="H105" s="90"/>
      <c r="J105" s="11"/>
      <c r="K105" s="11"/>
      <c r="L105" s="3"/>
      <c r="M105" s="3"/>
      <c r="N105" s="3"/>
      <c r="O105" s="3"/>
      <c r="P105" s="3"/>
      <c r="Q105" s="3"/>
      <c r="R105" s="3"/>
      <c r="S105" s="3"/>
      <c r="T105" s="3"/>
      <c r="U105" s="3"/>
      <c r="V105" s="3"/>
      <c r="W105" s="3"/>
      <c r="X105" s="3"/>
      <c r="Y105" s="3"/>
      <c r="Z105" s="3"/>
      <c r="AA105" s="3"/>
    </row>
    <row r="106" spans="1:27" ht="21.75" customHeight="1">
      <c r="B106" s="72"/>
      <c r="C106" s="72"/>
      <c r="D106" s="72"/>
      <c r="E106" s="132" t="s">
        <v>189</v>
      </c>
      <c r="F106" s="133"/>
      <c r="G106" s="133"/>
      <c r="H106" s="134"/>
      <c r="I106" s="3"/>
      <c r="J106" s="3"/>
      <c r="K106" s="3"/>
      <c r="L106" s="3"/>
      <c r="M106" s="3"/>
      <c r="N106" s="3"/>
      <c r="O106" s="3"/>
      <c r="P106" s="3"/>
      <c r="Q106" s="3"/>
      <c r="R106" s="3"/>
      <c r="S106" s="3"/>
      <c r="T106" s="3"/>
      <c r="U106" s="3"/>
      <c r="V106" s="3"/>
      <c r="W106" s="3"/>
      <c r="X106" s="3"/>
      <c r="Y106" s="3"/>
      <c r="Z106" s="3"/>
      <c r="AA106" s="3"/>
    </row>
    <row r="107" spans="1:27" ht="18.75" customHeight="1">
      <c r="B107" s="73"/>
      <c r="C107" s="74" t="s">
        <v>190</v>
      </c>
      <c r="D107" s="75" t="s">
        <v>191</v>
      </c>
      <c r="E107" s="75"/>
      <c r="F107" s="75"/>
      <c r="G107" s="75" t="s">
        <v>192</v>
      </c>
      <c r="H107" s="3"/>
      <c r="I107" s="3"/>
      <c r="J107" s="3"/>
      <c r="K107" s="3"/>
      <c r="L107" s="3"/>
      <c r="M107" s="3"/>
      <c r="N107" s="3"/>
      <c r="O107" s="3"/>
      <c r="P107" s="3"/>
      <c r="Q107" s="3"/>
      <c r="R107" s="3"/>
      <c r="S107" s="3"/>
      <c r="T107" s="3"/>
      <c r="U107" s="3"/>
      <c r="V107" s="3"/>
      <c r="W107" s="3"/>
      <c r="X107" s="3"/>
      <c r="Y107" s="3"/>
      <c r="Z107" s="3"/>
      <c r="AA107" s="3"/>
    </row>
    <row r="108" spans="1:27" ht="15.75" customHeight="1">
      <c r="B108" s="76"/>
      <c r="C108" s="2"/>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2.75" customHeight="1">
      <c r="B109" s="3"/>
      <c r="C109" s="2"/>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2.75" customHeight="1">
      <c r="B110" s="3"/>
      <c r="C110" s="2"/>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2.75" customHeight="1">
      <c r="B111" s="3"/>
      <c r="C111" s="2"/>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2.75" customHeight="1">
      <c r="B112" s="3"/>
      <c r="C112" s="2"/>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2:27" ht="12.75" customHeight="1">
      <c r="B113" s="3"/>
      <c r="C113" s="2"/>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2:27" ht="12.75" customHeight="1">
      <c r="B114" s="3"/>
      <c r="C114" s="2"/>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2:27" ht="12.75" customHeight="1">
      <c r="B115" s="3"/>
      <c r="C115" s="2"/>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2:27" ht="12.75" customHeight="1">
      <c r="B116" s="3"/>
      <c r="C116" s="2"/>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2:27" ht="12.75" customHeight="1">
      <c r="B117" s="3"/>
      <c r="C117" s="2"/>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2:27" ht="12.75" customHeight="1">
      <c r="B118" s="3"/>
      <c r="C118" s="2"/>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2:27" ht="12.75" customHeight="1">
      <c r="B119" s="3"/>
      <c r="C119" s="2"/>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2:27" ht="12.75" customHeight="1">
      <c r="B120" s="3"/>
      <c r="C120" s="2"/>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2:27" ht="12.75" customHeight="1">
      <c r="B121" s="3"/>
      <c r="C121" s="2"/>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2:27" ht="12.75" customHeight="1">
      <c r="B122" s="3"/>
      <c r="C122" s="2"/>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2:27" ht="12.75" customHeight="1">
      <c r="B123" s="3"/>
      <c r="C123" s="2"/>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2:27" ht="12.75" customHeight="1">
      <c r="B124" s="3"/>
      <c r="C124" s="2"/>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2:27" ht="12.75" customHeight="1">
      <c r="B125" s="3"/>
      <c r="C125" s="2"/>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2:27" ht="12.75" customHeight="1">
      <c r="B126" s="3"/>
      <c r="C126" s="2"/>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2:27" ht="12.75" customHeight="1">
      <c r="B127" s="3"/>
      <c r="C127" s="2"/>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2:27" ht="12.75" customHeight="1">
      <c r="B128" s="3"/>
      <c r="C128" s="2"/>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2:27" ht="12.75" customHeight="1">
      <c r="B129" s="3"/>
      <c r="C129" s="2"/>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2:27" ht="12.75" customHeight="1">
      <c r="B130" s="3"/>
      <c r="C130" s="2"/>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2:27" ht="12.75" customHeight="1">
      <c r="B131" s="3"/>
      <c r="C131" s="2"/>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2:27" ht="12.75" customHeight="1">
      <c r="B132" s="3"/>
      <c r="C132" s="2"/>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2:27" ht="12.75" customHeight="1">
      <c r="B133" s="3"/>
      <c r="C133" s="2"/>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2:27" ht="12.75" customHeight="1">
      <c r="B134" s="3"/>
      <c r="C134" s="2"/>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2:27" ht="12.75" customHeight="1">
      <c r="B135" s="3"/>
      <c r="C135" s="2"/>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2:27" ht="12.75" customHeight="1">
      <c r="B136" s="3"/>
      <c r="C136" s="2"/>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2:27" ht="12.75" customHeight="1">
      <c r="B137" s="3"/>
      <c r="C137" s="2"/>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2:27" ht="12.75" customHeight="1">
      <c r="B138" s="3"/>
      <c r="C138" s="2"/>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2:27" ht="12.75" customHeight="1">
      <c r="B139" s="3"/>
      <c r="C139" s="2"/>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2:27" ht="12.75" customHeight="1">
      <c r="B140" s="3"/>
      <c r="C140" s="2"/>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2:27" ht="12.75" customHeight="1">
      <c r="B141" s="3"/>
      <c r="C141" s="2"/>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2:27" ht="12.75" customHeight="1">
      <c r="B142" s="3"/>
      <c r="C142" s="2"/>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2:27" ht="12.75" customHeight="1">
      <c r="B143" s="3"/>
      <c r="C143" s="2"/>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2:27" ht="12.75" customHeight="1">
      <c r="B144" s="3"/>
      <c r="C144" s="2"/>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2:27" ht="12.75" customHeight="1">
      <c r="B145" s="3"/>
      <c r="C145" s="2"/>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2:27" ht="12.75" customHeight="1">
      <c r="B146" s="3"/>
      <c r="C146" s="2"/>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2:27" ht="12.75" customHeight="1">
      <c r="B147" s="3"/>
      <c r="C147" s="2"/>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2:27" ht="12.75" customHeight="1">
      <c r="B148" s="3"/>
      <c r="C148" s="2"/>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2:27" ht="12.75" customHeight="1">
      <c r="B149" s="3"/>
      <c r="C149" s="2"/>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2:27" ht="12.75" customHeight="1">
      <c r="B150" s="3"/>
      <c r="C150" s="2"/>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2:27" ht="12.75" customHeight="1">
      <c r="B151" s="3"/>
      <c r="C151" s="2"/>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2:27" ht="12.75" customHeight="1">
      <c r="B152" s="3"/>
      <c r="C152" s="2"/>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2:27" ht="12.75" customHeight="1">
      <c r="B153" s="3"/>
      <c r="C153" s="2"/>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2:27" ht="12.75" customHeight="1">
      <c r="B154" s="3"/>
      <c r="C154" s="2"/>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2:27" ht="12.75" customHeight="1">
      <c r="B155" s="3"/>
      <c r="C155" s="2"/>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2:27" ht="12.75" customHeight="1">
      <c r="B156" s="3"/>
      <c r="C156" s="2"/>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2:27" ht="12.75" customHeight="1">
      <c r="B157" s="3"/>
      <c r="C157" s="2"/>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2:27" ht="12.75" customHeight="1">
      <c r="B158" s="3"/>
      <c r="C158" s="2"/>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2:27" ht="12.75" customHeight="1">
      <c r="B159" s="3"/>
      <c r="C159" s="2"/>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2:27" ht="12.75" customHeight="1">
      <c r="B160" s="3"/>
      <c r="C160" s="2"/>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2:27" ht="12.75" customHeight="1">
      <c r="B161" s="3"/>
      <c r="C161" s="2"/>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2:27" ht="12.75" customHeight="1">
      <c r="B162" s="3"/>
      <c r="C162" s="2"/>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2:27" ht="12.75" customHeight="1">
      <c r="B163" s="3"/>
      <c r="C163" s="2"/>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2:27" ht="12.75" customHeight="1">
      <c r="B164" s="3"/>
      <c r="C164" s="2"/>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2:27" ht="12.75" customHeight="1">
      <c r="B165" s="3"/>
      <c r="C165" s="2"/>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2:27" ht="12.75" customHeight="1">
      <c r="B166" s="3"/>
      <c r="C166" s="2"/>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2:27" ht="12.75" customHeight="1">
      <c r="B167" s="3"/>
      <c r="C167" s="2"/>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2:27" ht="12.75" customHeight="1">
      <c r="B168" s="3"/>
      <c r="C168" s="2"/>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2:27" ht="12.75" customHeight="1">
      <c r="B169" s="3"/>
      <c r="C169" s="2"/>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2:27" ht="12.75" customHeight="1">
      <c r="B170" s="3"/>
      <c r="C170" s="2"/>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2:27" ht="12.75" customHeight="1">
      <c r="B171" s="3"/>
      <c r="C171" s="2"/>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2:27" ht="12.75" customHeight="1">
      <c r="B172" s="3"/>
      <c r="C172" s="2"/>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2:27" ht="12.75" customHeight="1">
      <c r="B173" s="3"/>
      <c r="C173" s="2"/>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2:27" ht="12.75" customHeight="1">
      <c r="B174" s="3"/>
      <c r="C174" s="2"/>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2:27" ht="12.75" customHeight="1">
      <c r="B175" s="3"/>
      <c r="C175" s="2"/>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2:27" ht="12.75" customHeight="1">
      <c r="B176" s="3"/>
      <c r="C176" s="2"/>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2:27" ht="12.75" customHeight="1">
      <c r="B177" s="3"/>
      <c r="C177" s="2"/>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2:27" ht="12.75" customHeight="1">
      <c r="B178" s="3"/>
      <c r="C178" s="2"/>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2:27" ht="12.75" customHeight="1">
      <c r="B179" s="3"/>
      <c r="C179" s="2"/>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2:27" ht="12.75" customHeight="1">
      <c r="B180" s="3"/>
      <c r="C180" s="2"/>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2:27" ht="12.75" customHeight="1">
      <c r="B181" s="3"/>
      <c r="C181" s="2"/>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2:27" ht="12.75" customHeight="1">
      <c r="B182" s="3"/>
      <c r="C182" s="2"/>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2:27" ht="12.75" customHeight="1">
      <c r="B183" s="3"/>
      <c r="C183" s="2"/>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2:27" ht="12.75" customHeight="1">
      <c r="B184" s="3"/>
      <c r="C184" s="2"/>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2:27" ht="12.75" customHeight="1">
      <c r="B185" s="3"/>
      <c r="C185" s="2"/>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2:27" ht="12.75" customHeight="1">
      <c r="B186" s="3"/>
      <c r="C186" s="2"/>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2:27" ht="12.75" customHeight="1">
      <c r="B187" s="3"/>
      <c r="C187" s="2"/>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2:27" ht="12.75" customHeight="1">
      <c r="B188" s="3"/>
      <c r="C188" s="2"/>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2:27" ht="12.75" customHeight="1">
      <c r="B189" s="3"/>
      <c r="C189" s="2"/>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2:27" ht="12.75" customHeight="1">
      <c r="B190" s="3"/>
      <c r="C190" s="2"/>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2:27" ht="12.75" customHeight="1">
      <c r="B191" s="3"/>
      <c r="C191" s="2"/>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2:27" ht="12.75" customHeight="1">
      <c r="B192" s="3"/>
      <c r="C192" s="2"/>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2:27" ht="12.75" customHeight="1">
      <c r="B193" s="3"/>
      <c r="C193" s="2"/>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2:27" ht="12.75" customHeight="1">
      <c r="B194" s="3"/>
      <c r="C194" s="2"/>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2:27" ht="12.75" customHeight="1">
      <c r="B195" s="3"/>
      <c r="C195" s="2"/>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2:27" ht="12.75" customHeight="1">
      <c r="B196" s="3"/>
      <c r="C196" s="2"/>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2:27" ht="12.75" customHeight="1">
      <c r="B197" s="3"/>
      <c r="C197" s="2"/>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2:27" ht="12.75" customHeight="1">
      <c r="B198" s="3"/>
      <c r="C198" s="2"/>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2:27" ht="12.75" customHeight="1">
      <c r="B199" s="3"/>
      <c r="C199" s="2"/>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2:27" ht="12.75" customHeight="1">
      <c r="B200" s="3"/>
      <c r="C200" s="2"/>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2:27" ht="12.75" customHeight="1">
      <c r="B201" s="3"/>
      <c r="C201" s="2"/>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2:27" ht="12.75" customHeight="1">
      <c r="B202" s="3"/>
      <c r="C202" s="2"/>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2:27" ht="12.75" customHeight="1">
      <c r="B203" s="3"/>
      <c r="C203" s="2"/>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2:27" ht="12.75" customHeight="1">
      <c r="B204" s="3"/>
      <c r="C204" s="2"/>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2:27" ht="12.75" customHeight="1">
      <c r="B205" s="3"/>
      <c r="C205" s="2"/>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2:27" ht="12.75" customHeight="1">
      <c r="B206" s="3"/>
      <c r="C206" s="2"/>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2:27" ht="12.75" customHeight="1">
      <c r="B207" s="3"/>
      <c r="C207" s="2"/>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2:27" ht="12.75" customHeight="1">
      <c r="B208" s="3"/>
      <c r="C208" s="2"/>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2:27" ht="12.75" customHeight="1">
      <c r="B209" s="3"/>
      <c r="C209" s="2"/>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2:27" ht="12.75" customHeight="1">
      <c r="B210" s="3"/>
      <c r="C210" s="2"/>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2:27" ht="12.75" customHeight="1">
      <c r="B211" s="3"/>
      <c r="C211" s="2"/>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2:27" ht="12.75" customHeight="1">
      <c r="B212" s="3"/>
      <c r="C212" s="2"/>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2:27" ht="12.75" customHeight="1">
      <c r="B213" s="3"/>
      <c r="C213" s="2"/>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2:27" ht="12.75" customHeight="1">
      <c r="B214" s="3"/>
      <c r="C214" s="2"/>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2:27" ht="12.75" customHeight="1">
      <c r="B215" s="3"/>
      <c r="C215" s="2"/>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2:27" ht="12.75" customHeight="1">
      <c r="B216" s="3"/>
      <c r="C216" s="2"/>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2:27" ht="12.75" customHeight="1">
      <c r="B217" s="3"/>
      <c r="C217" s="2"/>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2:27" ht="12.75" customHeight="1">
      <c r="B218" s="3"/>
      <c r="C218" s="2"/>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2:27" ht="12.75" customHeight="1">
      <c r="B219" s="3"/>
      <c r="C219" s="2"/>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2:27" ht="12.75" customHeight="1">
      <c r="B220" s="3"/>
      <c r="C220" s="2"/>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2:27" ht="12.75" customHeight="1">
      <c r="B221" s="3"/>
      <c r="C221" s="2"/>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2:27" ht="12.75" customHeight="1">
      <c r="B222" s="3"/>
      <c r="C222" s="2"/>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2:27" ht="12.75" customHeight="1">
      <c r="B223" s="3"/>
      <c r="C223" s="2"/>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2:27" ht="12.75" customHeight="1">
      <c r="B224" s="3"/>
      <c r="C224" s="2"/>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2:27" ht="12.75" customHeight="1">
      <c r="B225" s="3"/>
      <c r="C225" s="2"/>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2:27" ht="12.75" customHeight="1">
      <c r="B226" s="3"/>
      <c r="C226" s="2"/>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2:27" ht="12.75" customHeight="1">
      <c r="B227" s="3"/>
      <c r="C227" s="2"/>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2:27" ht="12.75" customHeight="1">
      <c r="B228" s="3"/>
      <c r="C228" s="2"/>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2:27" ht="12.75" customHeight="1">
      <c r="B229" s="3"/>
      <c r="C229" s="2"/>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2:27" ht="12.75" customHeight="1">
      <c r="B230" s="3"/>
      <c r="C230" s="2"/>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2:27" ht="12.75" customHeight="1">
      <c r="B231" s="3"/>
      <c r="C231" s="2"/>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2:27" ht="12.75" customHeight="1">
      <c r="B232" s="3"/>
      <c r="C232" s="2"/>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2:27" ht="12.75" customHeight="1">
      <c r="B233" s="3"/>
      <c r="C233" s="2"/>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2:27" ht="12.75" customHeight="1">
      <c r="B234" s="3"/>
      <c r="C234" s="2"/>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2:27" ht="12.75" customHeight="1">
      <c r="B235" s="3"/>
      <c r="C235" s="2"/>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2:27" ht="12.75" customHeight="1">
      <c r="B236" s="3"/>
      <c r="C236" s="2"/>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2:27" ht="12.75" customHeight="1">
      <c r="B237" s="3"/>
      <c r="C237" s="2"/>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2:27" ht="12.75" customHeight="1">
      <c r="B238" s="3"/>
      <c r="C238" s="2"/>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2:27" ht="12.75" customHeight="1">
      <c r="B239" s="3"/>
      <c r="C239" s="2"/>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2:27" ht="12.75" customHeight="1">
      <c r="B240" s="3"/>
      <c r="C240" s="2"/>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2:27" ht="12.75" customHeight="1">
      <c r="B241" s="3"/>
      <c r="C241" s="2"/>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2:27" ht="12.75" customHeight="1">
      <c r="B242" s="3"/>
      <c r="C242" s="2"/>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2:27" ht="12.75" customHeight="1">
      <c r="B243" s="3"/>
      <c r="C243" s="2"/>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2:27" ht="12.75" customHeight="1">
      <c r="B244" s="3"/>
      <c r="C244" s="2"/>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2:27" ht="12.75" customHeight="1">
      <c r="B245" s="3"/>
      <c r="C245" s="2"/>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2:27" ht="12.75" customHeight="1">
      <c r="B246" s="3"/>
      <c r="C246" s="2"/>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2:27" ht="12.75" customHeight="1">
      <c r="B247" s="3"/>
      <c r="C247" s="2"/>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2:27" ht="12.75" customHeight="1">
      <c r="B248" s="3"/>
      <c r="C248" s="2"/>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2:27" ht="12.75" customHeight="1">
      <c r="B249" s="3"/>
      <c r="C249" s="2"/>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2:27" ht="12.75" customHeight="1">
      <c r="B250" s="3"/>
      <c r="C250" s="2"/>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2:27" ht="12.75" customHeight="1">
      <c r="B251" s="3"/>
      <c r="C251" s="2"/>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2:27" ht="12.75" customHeight="1">
      <c r="B252" s="3"/>
      <c r="C252" s="2"/>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2:27" ht="12.75" customHeight="1">
      <c r="B253" s="3"/>
      <c r="C253" s="2"/>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2:27" ht="12.75" customHeight="1">
      <c r="B254" s="3"/>
      <c r="C254" s="2"/>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2:27" ht="12.75" customHeight="1">
      <c r="B255" s="3"/>
      <c r="C255" s="2"/>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2:27" ht="12.75" customHeight="1">
      <c r="B256" s="3"/>
      <c r="C256" s="2"/>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2:27" ht="12.75" customHeight="1">
      <c r="B257" s="3"/>
      <c r="C257" s="2"/>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2:27" ht="12.75" customHeight="1">
      <c r="B258" s="3"/>
      <c r="C258" s="2"/>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2:27" ht="12.75" customHeight="1">
      <c r="B259" s="3"/>
      <c r="C259" s="2"/>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2:27" ht="12.75" customHeight="1">
      <c r="B260" s="3"/>
      <c r="C260" s="2"/>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2:27" ht="12.75" customHeight="1">
      <c r="B261" s="3"/>
      <c r="C261" s="2"/>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2:27" ht="12.75" customHeight="1">
      <c r="B262" s="3"/>
      <c r="C262" s="2"/>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2:27" ht="12.75" customHeight="1">
      <c r="B263" s="3"/>
      <c r="C263" s="2"/>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2:27" ht="12.75" customHeight="1">
      <c r="B264" s="3"/>
      <c r="C264" s="2"/>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2:27" ht="12.75" customHeight="1">
      <c r="B265" s="3"/>
      <c r="C265" s="2"/>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2:27" ht="12.75" customHeight="1">
      <c r="B266" s="3"/>
      <c r="C266" s="2"/>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2:27" ht="12.75" customHeight="1">
      <c r="B267" s="3"/>
      <c r="C267" s="2"/>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2:27" ht="12.75" customHeight="1">
      <c r="B268" s="3"/>
      <c r="C268" s="2"/>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2:27" ht="12.75" customHeight="1">
      <c r="B269" s="3"/>
      <c r="C269" s="2"/>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2:27" ht="12.75" customHeight="1">
      <c r="B270" s="3"/>
      <c r="C270" s="2"/>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2:27" ht="12.75" customHeight="1">
      <c r="B271" s="3"/>
      <c r="C271" s="2"/>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2:27" ht="12.75" customHeight="1">
      <c r="B272" s="3"/>
      <c r="C272" s="2"/>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2:27" ht="12.75" customHeight="1">
      <c r="B273" s="3"/>
      <c r="C273" s="2"/>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2:27" ht="12.75" customHeight="1">
      <c r="B274" s="3"/>
      <c r="C274" s="2"/>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2:27" ht="12.75" customHeight="1">
      <c r="B275" s="3"/>
      <c r="C275" s="2"/>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2:27" ht="12.75" customHeight="1">
      <c r="B276" s="3"/>
      <c r="C276" s="2"/>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2:27" ht="12.75" customHeight="1">
      <c r="B277" s="3"/>
      <c r="C277" s="2"/>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2:27" ht="12.75" customHeight="1">
      <c r="B278" s="3"/>
      <c r="C278" s="2"/>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2:27" ht="12.75" customHeight="1">
      <c r="B279" s="3"/>
      <c r="C279" s="2"/>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2:27" ht="12.75" customHeight="1">
      <c r="B280" s="3"/>
      <c r="C280" s="2"/>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2:27" ht="12.75" customHeight="1">
      <c r="B281" s="3"/>
      <c r="C281" s="2"/>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2:27" ht="12.75" customHeight="1">
      <c r="B282" s="3"/>
      <c r="C282" s="2"/>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2:27" ht="12.75" customHeight="1">
      <c r="B283" s="3"/>
      <c r="C283" s="2"/>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2:27" ht="12.75" customHeight="1">
      <c r="B284" s="3"/>
      <c r="C284" s="2"/>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2:27" ht="12.75" customHeight="1">
      <c r="B285" s="3"/>
      <c r="C285" s="2"/>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2:27" ht="12.75" customHeight="1">
      <c r="B286" s="3"/>
      <c r="C286" s="2"/>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2:27" ht="12.75" customHeight="1">
      <c r="B287" s="3"/>
      <c r="C287" s="2"/>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2:27" ht="12.75" customHeight="1">
      <c r="B288" s="3"/>
      <c r="C288" s="2"/>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2:27" ht="12.75" customHeight="1">
      <c r="B289" s="3"/>
      <c r="C289" s="2"/>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2:27" ht="12.75" customHeight="1">
      <c r="B290" s="3"/>
      <c r="C290" s="2"/>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2:27" ht="12.75" customHeight="1">
      <c r="B291" s="3"/>
      <c r="C291" s="2"/>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2:27" ht="12.75" customHeight="1">
      <c r="B292" s="3"/>
      <c r="C292" s="2"/>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2:27" ht="12.75" customHeight="1">
      <c r="B293" s="3"/>
      <c r="C293" s="2"/>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2:27" ht="12.75" customHeight="1">
      <c r="B294" s="3"/>
      <c r="C294" s="2"/>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2:27" ht="12.75" customHeight="1">
      <c r="B295" s="3"/>
      <c r="C295" s="2"/>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2:27" ht="12.75" customHeight="1">
      <c r="B296" s="3"/>
      <c r="C296" s="2"/>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2:27" ht="12.75" customHeight="1">
      <c r="B297" s="3"/>
      <c r="C297" s="2"/>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2:27" ht="12.75" customHeight="1">
      <c r="B298" s="3"/>
      <c r="C298" s="2"/>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2:27" ht="12.75" customHeight="1">
      <c r="B299" s="3"/>
      <c r="C299" s="2"/>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2:27" ht="12.75" customHeight="1">
      <c r="B300" s="3"/>
      <c r="C300" s="2"/>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2:27" ht="12.75" customHeight="1">
      <c r="B301" s="3"/>
      <c r="C301" s="2"/>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2:27" ht="12.75" customHeight="1">
      <c r="B302" s="3"/>
      <c r="C302" s="2"/>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2:27" ht="12.75" customHeight="1">
      <c r="B303" s="3"/>
      <c r="C303" s="2"/>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2:27" ht="12.75" customHeight="1">
      <c r="B304" s="3"/>
      <c r="C304" s="2"/>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2:27" ht="12.75" customHeight="1">
      <c r="B305" s="3"/>
      <c r="C305" s="2"/>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2:27" ht="12.75" customHeight="1">
      <c r="B306" s="3"/>
      <c r="C306" s="2"/>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2:27" ht="12.75" customHeight="1">
      <c r="B307" s="3"/>
      <c r="C307" s="2"/>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2:27" ht="12.75" customHeight="1">
      <c r="B308" s="3"/>
      <c r="C308" s="2"/>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2:27" ht="12.75" customHeight="1">
      <c r="B309" s="3"/>
      <c r="C309" s="2"/>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2:27" ht="12.75" customHeight="1">
      <c r="B310" s="3"/>
      <c r="C310" s="2"/>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2:27" ht="12.75" customHeight="1">
      <c r="B311" s="3"/>
      <c r="C311" s="2"/>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2:27" ht="12.75" customHeight="1">
      <c r="B312" s="3"/>
      <c r="C312" s="2"/>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2:27" ht="12.75" customHeight="1">
      <c r="B313" s="3"/>
      <c r="C313" s="2"/>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2:27" ht="12.75" customHeight="1">
      <c r="B314" s="3"/>
      <c r="C314" s="2"/>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2:27" ht="12.75" customHeight="1">
      <c r="B315" s="3"/>
      <c r="C315" s="2"/>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2:27" ht="12.75" customHeight="1">
      <c r="B316" s="3"/>
      <c r="C316" s="2"/>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2:27" ht="12.75" customHeight="1">
      <c r="B317" s="3"/>
      <c r="C317" s="2"/>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2:27" ht="12.75" customHeight="1">
      <c r="B318" s="3"/>
      <c r="C318" s="2"/>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2:27" ht="12.75" customHeight="1">
      <c r="B319" s="3"/>
      <c r="C319" s="2"/>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2:27" ht="12.75" customHeight="1">
      <c r="B320" s="3"/>
      <c r="C320" s="2"/>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2:27" ht="12.75" customHeight="1">
      <c r="B321" s="3"/>
      <c r="C321" s="2"/>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2:27" ht="12.75" customHeight="1">
      <c r="B322" s="3"/>
      <c r="C322" s="2"/>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2:27" ht="12.75" customHeight="1">
      <c r="B323" s="3"/>
      <c r="C323" s="2"/>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2:27" ht="12.75" customHeight="1">
      <c r="B324" s="3"/>
      <c r="C324" s="2"/>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2:27" ht="12.75" customHeight="1">
      <c r="B325" s="3"/>
      <c r="C325" s="2"/>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2:27" ht="12.75" customHeight="1">
      <c r="B326" s="3"/>
      <c r="C326" s="2"/>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2:27" ht="12.75" customHeight="1">
      <c r="B327" s="3"/>
      <c r="C327" s="2"/>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2:27" ht="12.75" customHeight="1">
      <c r="B328" s="3"/>
      <c r="C328" s="2"/>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2:27" ht="12.75" customHeight="1">
      <c r="B329" s="3"/>
      <c r="C329" s="2"/>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2:27" ht="12.75" customHeight="1">
      <c r="B330" s="3"/>
      <c r="C330" s="2"/>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2:27" ht="12.75" customHeight="1">
      <c r="B331" s="3"/>
      <c r="C331" s="2"/>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2:27" ht="12.75" customHeight="1">
      <c r="B332" s="3"/>
      <c r="C332" s="2"/>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2:27" ht="12.75" customHeight="1">
      <c r="B333" s="3"/>
      <c r="C333" s="2"/>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2:27" ht="12.75" customHeight="1">
      <c r="B334" s="3"/>
      <c r="C334" s="2"/>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2:27" ht="12.75" customHeight="1">
      <c r="B335" s="3"/>
      <c r="C335" s="2"/>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2:27" ht="12.75" customHeight="1">
      <c r="B336" s="3"/>
      <c r="C336" s="2"/>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2:27" ht="12.75" customHeight="1">
      <c r="B337" s="3"/>
      <c r="C337" s="2"/>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2:27" ht="12.75" customHeight="1">
      <c r="B338" s="3"/>
      <c r="C338" s="2"/>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2:27" ht="12.75" customHeight="1">
      <c r="B339" s="3"/>
      <c r="C339" s="2"/>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2:27" ht="12.75" customHeight="1">
      <c r="B340" s="3"/>
      <c r="C340" s="2"/>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2:27" ht="12.75" customHeight="1">
      <c r="B341" s="3"/>
      <c r="C341" s="2"/>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2:27" ht="12.75" customHeight="1">
      <c r="B342" s="3"/>
      <c r="C342" s="2"/>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2:27" ht="12.75" customHeight="1">
      <c r="B343" s="3"/>
      <c r="C343" s="2"/>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2:27" ht="12.75" customHeight="1">
      <c r="B344" s="3"/>
      <c r="C344" s="2"/>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2:27" ht="12.75" customHeight="1">
      <c r="B345" s="3"/>
      <c r="C345" s="2"/>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2:27" ht="12.75" customHeight="1">
      <c r="B346" s="3"/>
      <c r="C346" s="2"/>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2:27" ht="12.75" customHeight="1">
      <c r="B347" s="3"/>
      <c r="C347" s="2"/>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2:27" ht="12.75" customHeight="1">
      <c r="B348" s="3"/>
      <c r="C348" s="2"/>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2:27" ht="12.75" customHeight="1">
      <c r="B349" s="3"/>
      <c r="C349" s="2"/>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2:27" ht="12.75" customHeight="1">
      <c r="B350" s="3"/>
      <c r="C350" s="2"/>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2:27" ht="12.75" customHeight="1">
      <c r="B351" s="3"/>
      <c r="C351" s="2"/>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2:27" ht="12.75" customHeight="1">
      <c r="B352" s="3"/>
      <c r="C352" s="2"/>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2:27" ht="12.75" customHeight="1">
      <c r="B353" s="3"/>
      <c r="C353" s="2"/>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2:27" ht="12.75" customHeight="1">
      <c r="B354" s="3"/>
      <c r="C354" s="2"/>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2:27" ht="12.75" customHeight="1">
      <c r="B355" s="3"/>
      <c r="C355" s="2"/>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2:27" ht="12.75" customHeight="1">
      <c r="B356" s="3"/>
      <c r="C356" s="2"/>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2:27" ht="12.75" customHeight="1">
      <c r="B357" s="3"/>
      <c r="C357" s="2"/>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2:27" ht="12.75" customHeight="1">
      <c r="B358" s="3"/>
      <c r="C358" s="2"/>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2:27" ht="12.75" customHeight="1">
      <c r="B359" s="3"/>
      <c r="C359" s="2"/>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2:27" ht="12.75" customHeight="1">
      <c r="B360" s="3"/>
      <c r="C360" s="2"/>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2:27" ht="12.75" customHeight="1">
      <c r="B361" s="3"/>
      <c r="C361" s="2"/>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2:27" ht="12.75" customHeight="1">
      <c r="B362" s="3"/>
      <c r="C362" s="2"/>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2:27" ht="12.75" customHeight="1">
      <c r="B363" s="3"/>
      <c r="C363" s="2"/>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2:27" ht="12.75" customHeight="1">
      <c r="B364" s="3"/>
      <c r="C364" s="2"/>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2:27" ht="12.75" customHeight="1">
      <c r="B365" s="3"/>
      <c r="C365" s="2"/>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2:27" ht="12.75" customHeight="1">
      <c r="B366" s="3"/>
      <c r="C366" s="2"/>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2:27" ht="12.75" customHeight="1">
      <c r="B367" s="3"/>
      <c r="C367" s="2"/>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2:27" ht="12.75" customHeight="1">
      <c r="B368" s="3"/>
      <c r="C368" s="2"/>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2:27" ht="12.75" customHeight="1">
      <c r="B369" s="3"/>
      <c r="C369" s="2"/>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2:27" ht="12.75" customHeight="1">
      <c r="B370" s="3"/>
      <c r="C370" s="2"/>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2:27" ht="12.75" customHeight="1">
      <c r="B371" s="3"/>
      <c r="C371" s="2"/>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2:27" ht="12.75" customHeight="1">
      <c r="B372" s="3"/>
      <c r="C372" s="2"/>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2:27" ht="12.75" customHeight="1">
      <c r="B373" s="3"/>
      <c r="C373" s="2"/>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2:27" ht="12.75" customHeight="1">
      <c r="B374" s="3"/>
      <c r="C374" s="2"/>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2:27" ht="12.75" customHeight="1">
      <c r="B375" s="3"/>
      <c r="C375" s="2"/>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2:27" ht="12.75" customHeight="1">
      <c r="B376" s="3"/>
      <c r="C376" s="2"/>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2:27" ht="12.75" customHeight="1">
      <c r="B377" s="3"/>
      <c r="C377" s="2"/>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2:27" ht="12.75" customHeight="1">
      <c r="B378" s="3"/>
      <c r="C378" s="2"/>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2:27" ht="12.75" customHeight="1">
      <c r="B379" s="3"/>
      <c r="C379" s="2"/>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2:27" ht="12.75" customHeight="1">
      <c r="B380" s="3"/>
      <c r="C380" s="2"/>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2:27" ht="12.75" customHeight="1">
      <c r="B381" s="3"/>
      <c r="C381" s="2"/>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2:27" ht="12.75" customHeight="1">
      <c r="B382" s="3"/>
      <c r="C382" s="2"/>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2:27" ht="12.75" customHeight="1">
      <c r="B383" s="3"/>
      <c r="C383" s="2"/>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2:27" ht="12.75" customHeight="1">
      <c r="B384" s="3"/>
      <c r="C384" s="2"/>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2:27" ht="12.75" customHeight="1">
      <c r="B385" s="3"/>
      <c r="C385" s="2"/>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2:27" ht="12.75" customHeight="1">
      <c r="B386" s="3"/>
      <c r="C386" s="2"/>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2:27" ht="12.75" customHeight="1">
      <c r="B387" s="3"/>
      <c r="C387" s="2"/>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2:27" ht="12.75" customHeight="1">
      <c r="B388" s="3"/>
      <c r="C388" s="2"/>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2:27" ht="12.75" customHeight="1">
      <c r="B389" s="3"/>
      <c r="C389" s="2"/>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2:27" ht="12.75" customHeight="1">
      <c r="B390" s="3"/>
      <c r="C390" s="2"/>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2:27" ht="12.75" customHeight="1">
      <c r="B391" s="3"/>
      <c r="C391" s="2"/>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2:27" ht="12.75" customHeight="1">
      <c r="B392" s="3"/>
      <c r="C392" s="2"/>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2:27" ht="12.75" customHeight="1">
      <c r="B393" s="3"/>
      <c r="C393" s="2"/>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2:27" ht="12.75" customHeight="1">
      <c r="B394" s="3"/>
      <c r="C394" s="2"/>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2:27" ht="12.75" customHeight="1">
      <c r="B395" s="3"/>
      <c r="C395" s="2"/>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2:27" ht="12.75" customHeight="1">
      <c r="B396" s="3"/>
      <c r="C396" s="2"/>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2:27" ht="12.75" customHeight="1">
      <c r="B397" s="3"/>
      <c r="C397" s="2"/>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2:27" ht="12.75" customHeight="1">
      <c r="B398" s="3"/>
      <c r="C398" s="2"/>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2:27" ht="12.75" customHeight="1">
      <c r="B399" s="3"/>
      <c r="C399" s="2"/>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2:27" ht="12.75" customHeight="1">
      <c r="B400" s="3"/>
      <c r="C400" s="2"/>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2:27" ht="12.75" customHeight="1">
      <c r="B401" s="3"/>
      <c r="C401" s="2"/>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2:27" ht="12.75" customHeight="1">
      <c r="B402" s="3"/>
      <c r="C402" s="2"/>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2:27" ht="12.75" customHeight="1">
      <c r="B403" s="3"/>
      <c r="C403" s="2"/>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2:27" ht="12.75" customHeight="1">
      <c r="B404" s="3"/>
      <c r="C404" s="2"/>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2:27" ht="12.75" customHeight="1">
      <c r="B405" s="3"/>
      <c r="C405" s="2"/>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2:27" ht="12.75" customHeight="1">
      <c r="B406" s="3"/>
      <c r="C406" s="2"/>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2:27" ht="12.75" customHeight="1">
      <c r="B407" s="3"/>
      <c r="C407" s="2"/>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2:27" ht="12.75" customHeight="1">
      <c r="B408" s="3"/>
      <c r="C408" s="2"/>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2:27" ht="12.75" customHeight="1">
      <c r="B409" s="3"/>
      <c r="C409" s="2"/>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2:27" ht="12.75" customHeight="1">
      <c r="B410" s="3"/>
      <c r="C410" s="2"/>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2:27" ht="12.75" customHeight="1">
      <c r="B411" s="3"/>
      <c r="C411" s="2"/>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2:27" ht="12.75" customHeight="1">
      <c r="B412" s="3"/>
      <c r="C412" s="2"/>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2:27" ht="12.75" customHeight="1">
      <c r="B413" s="3"/>
      <c r="C413" s="2"/>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2:27" ht="12.75" customHeight="1">
      <c r="B414" s="3"/>
      <c r="C414" s="2"/>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2:27" ht="12.75" customHeight="1">
      <c r="B415" s="3"/>
      <c r="C415" s="2"/>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2:27" ht="12.75" customHeight="1">
      <c r="B416" s="3"/>
      <c r="C416" s="2"/>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2:27" ht="12.75" customHeight="1">
      <c r="B417" s="3"/>
      <c r="C417" s="2"/>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2:27" ht="12.75" customHeight="1">
      <c r="B418" s="3"/>
      <c r="C418" s="2"/>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2:27" ht="12.75" customHeight="1">
      <c r="B419" s="3"/>
      <c r="C419" s="2"/>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2:27" ht="12.75" customHeight="1">
      <c r="B420" s="3"/>
      <c r="C420" s="2"/>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2:27" ht="12.75" customHeight="1">
      <c r="B421" s="3"/>
      <c r="C421" s="2"/>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2:27" ht="12.75" customHeight="1">
      <c r="B422" s="3"/>
      <c r="C422" s="2"/>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2:27" ht="12.75" customHeight="1">
      <c r="B423" s="3"/>
      <c r="C423" s="2"/>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2:27" ht="12.75" customHeight="1">
      <c r="B424" s="3"/>
      <c r="C424" s="2"/>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2:27" ht="12.75" customHeight="1">
      <c r="B425" s="3"/>
      <c r="C425" s="2"/>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2:27" ht="12.75" customHeight="1">
      <c r="B426" s="3"/>
      <c r="C426" s="2"/>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2:27" ht="12.75" customHeight="1">
      <c r="B427" s="3"/>
      <c r="C427" s="2"/>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2:27" ht="12.75" customHeight="1">
      <c r="B428" s="3"/>
      <c r="C428" s="2"/>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2:27" ht="12.75" customHeight="1">
      <c r="B429" s="3"/>
      <c r="C429" s="2"/>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2:27" ht="12.75" customHeight="1">
      <c r="B430" s="3"/>
      <c r="C430" s="2"/>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2:27" ht="12.75" customHeight="1">
      <c r="B431" s="3"/>
      <c r="C431" s="2"/>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2:27" ht="12.75" customHeight="1">
      <c r="B432" s="3"/>
      <c r="C432" s="2"/>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2:27" ht="12.75" customHeight="1">
      <c r="B433" s="3"/>
      <c r="C433" s="2"/>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2:27" ht="12.75" customHeight="1">
      <c r="B434" s="3"/>
      <c r="C434" s="2"/>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2:27" ht="12.75" customHeight="1">
      <c r="B435" s="3"/>
      <c r="C435" s="2"/>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2:27" ht="12.75" customHeight="1">
      <c r="B436" s="3"/>
      <c r="C436" s="2"/>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2:27" ht="12.75" customHeight="1">
      <c r="B437" s="3"/>
      <c r="C437" s="2"/>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2:27" ht="12.75" customHeight="1">
      <c r="B438" s="3"/>
      <c r="C438" s="2"/>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2:27" ht="12.75" customHeight="1">
      <c r="B439" s="3"/>
      <c r="C439" s="2"/>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2:27" ht="12.75" customHeight="1">
      <c r="B440" s="3"/>
      <c r="C440" s="2"/>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2:27" ht="12.75" customHeight="1">
      <c r="B441" s="3"/>
      <c r="C441" s="2"/>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2:27" ht="12.75" customHeight="1">
      <c r="B442" s="3"/>
      <c r="C442" s="2"/>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2:27" ht="12.75" customHeight="1">
      <c r="B443" s="3"/>
      <c r="C443" s="2"/>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2:27" ht="12.75" customHeight="1">
      <c r="B444" s="3"/>
      <c r="C444" s="2"/>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2:27" ht="12.75" customHeight="1">
      <c r="B445" s="3"/>
      <c r="C445" s="2"/>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2:27" ht="12.75" customHeight="1">
      <c r="B446" s="3"/>
      <c r="C446" s="2"/>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2:27" ht="12.75" customHeight="1">
      <c r="B447" s="3"/>
      <c r="C447" s="2"/>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2:27" ht="12.75" customHeight="1">
      <c r="B448" s="3"/>
      <c r="C448" s="2"/>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2:27" ht="12.75" customHeight="1">
      <c r="B449" s="3"/>
      <c r="C449" s="2"/>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2:27" ht="12.75" customHeight="1">
      <c r="B450" s="3"/>
      <c r="C450" s="2"/>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2:27" ht="12.75" customHeight="1">
      <c r="B451" s="3"/>
      <c r="C451" s="2"/>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2:27" ht="12.75" customHeight="1">
      <c r="B452" s="3"/>
      <c r="C452" s="2"/>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2:27" ht="12.75" customHeight="1">
      <c r="B453" s="3"/>
      <c r="C453" s="2"/>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2:27" ht="12.75" customHeight="1">
      <c r="B454" s="3"/>
      <c r="C454" s="2"/>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2:27" ht="12.75" customHeight="1">
      <c r="B455" s="3"/>
      <c r="C455" s="2"/>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2:27" ht="12.75" customHeight="1">
      <c r="B456" s="3"/>
      <c r="C456" s="2"/>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2:27" ht="12.75" customHeight="1">
      <c r="B457" s="3"/>
      <c r="C457" s="2"/>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2:27" ht="12.75" customHeight="1">
      <c r="B458" s="3"/>
      <c r="C458" s="2"/>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2:27" ht="12.75" customHeight="1">
      <c r="B459" s="3"/>
      <c r="C459" s="2"/>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2:27" ht="12.75" customHeight="1">
      <c r="B460" s="3"/>
      <c r="C460" s="2"/>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2:27" ht="12.75" customHeight="1">
      <c r="B461" s="3"/>
      <c r="C461" s="2"/>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2:27" ht="12.75" customHeight="1">
      <c r="B462" s="3"/>
      <c r="C462" s="2"/>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2:27" ht="12.75" customHeight="1">
      <c r="B463" s="3"/>
      <c r="C463" s="2"/>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2:27" ht="12.75" customHeight="1">
      <c r="B464" s="3"/>
      <c r="C464" s="2"/>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2:27" ht="12.75" customHeight="1">
      <c r="B465" s="3"/>
      <c r="C465" s="2"/>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2:27" ht="12.75" customHeight="1">
      <c r="B466" s="3"/>
      <c r="C466" s="2"/>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2:27" ht="12.75" customHeight="1">
      <c r="B467" s="3"/>
      <c r="C467" s="2"/>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2:27" ht="12.75" customHeight="1">
      <c r="B468" s="3"/>
      <c r="C468" s="2"/>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2:27" ht="12.75" customHeight="1">
      <c r="B469" s="3"/>
      <c r="C469" s="2"/>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2:27" ht="12.75" customHeight="1">
      <c r="B470" s="3"/>
      <c r="C470" s="2"/>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2:27" ht="12.75" customHeight="1">
      <c r="B471" s="3"/>
      <c r="C471" s="2"/>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2:27" ht="12.75" customHeight="1">
      <c r="B472" s="3"/>
      <c r="C472" s="2"/>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2:27" ht="12.75" customHeight="1">
      <c r="B473" s="3"/>
      <c r="C473" s="2"/>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2:27" ht="12.75" customHeight="1">
      <c r="B474" s="3"/>
      <c r="C474" s="2"/>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2:27" ht="12.75" customHeight="1">
      <c r="B475" s="3"/>
      <c r="C475" s="2"/>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2:27" ht="12.75" customHeight="1">
      <c r="B476" s="3"/>
      <c r="C476" s="2"/>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2:27" ht="12.75" customHeight="1">
      <c r="B477" s="3"/>
      <c r="C477" s="2"/>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2:27" ht="12.75" customHeight="1">
      <c r="B478" s="3"/>
      <c r="C478" s="2"/>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2:27" ht="12.75" customHeight="1">
      <c r="B479" s="3"/>
      <c r="C479" s="2"/>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2:27" ht="12.75" customHeight="1">
      <c r="B480" s="3"/>
      <c r="C480" s="2"/>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2:27" ht="12.75" customHeight="1">
      <c r="B481" s="3"/>
      <c r="C481" s="2"/>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2:27" ht="12.75" customHeight="1">
      <c r="B482" s="3"/>
      <c r="C482" s="2"/>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2:27" ht="12.75" customHeight="1">
      <c r="B483" s="3"/>
      <c r="C483" s="2"/>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2:27" ht="12.75" customHeight="1">
      <c r="B484" s="3"/>
      <c r="C484" s="2"/>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2:27" ht="12.75" customHeight="1">
      <c r="B485" s="3"/>
      <c r="C485" s="2"/>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2:27" ht="12.75" customHeight="1">
      <c r="B486" s="3"/>
      <c r="C486" s="2"/>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2:27" ht="12.75" customHeight="1">
      <c r="B487" s="3"/>
      <c r="C487" s="2"/>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2:27" ht="12.75" customHeight="1">
      <c r="B488" s="3"/>
      <c r="C488" s="2"/>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2:27" ht="12.75" customHeight="1">
      <c r="B489" s="3"/>
      <c r="C489" s="2"/>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2:27" ht="12.75" customHeight="1">
      <c r="B490" s="3"/>
      <c r="C490" s="2"/>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2:27" ht="12.75" customHeight="1">
      <c r="B491" s="3"/>
      <c r="C491" s="2"/>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2:27" ht="12.75" customHeight="1">
      <c r="B492" s="3"/>
      <c r="C492" s="2"/>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2:27" ht="12.75" customHeight="1">
      <c r="B493" s="3"/>
      <c r="C493" s="2"/>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2:27" ht="12.75" customHeight="1">
      <c r="B494" s="3"/>
      <c r="C494" s="2"/>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2:27" ht="12.75" customHeight="1">
      <c r="B495" s="3"/>
      <c r="C495" s="2"/>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2:27" ht="12.75" customHeight="1">
      <c r="B496" s="3"/>
      <c r="C496" s="2"/>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2:27" ht="12.75" customHeight="1">
      <c r="B497" s="3"/>
      <c r="C497" s="2"/>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2:27" ht="12.75" customHeight="1">
      <c r="B498" s="3"/>
      <c r="C498" s="2"/>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2:27" ht="12.75" customHeight="1">
      <c r="B499" s="3"/>
      <c r="C499" s="2"/>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2:27" ht="12.75" customHeight="1">
      <c r="B500" s="3"/>
      <c r="C500" s="2"/>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2:27" ht="12.75" customHeight="1">
      <c r="B501" s="3"/>
      <c r="C501" s="2"/>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2:27" ht="12.75" customHeight="1">
      <c r="B502" s="3"/>
      <c r="C502" s="2"/>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2:27" ht="12.75" customHeight="1">
      <c r="B503" s="3"/>
      <c r="C503" s="2"/>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2:27" ht="12.75" customHeight="1">
      <c r="B504" s="3"/>
      <c r="C504" s="2"/>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2:27" ht="12.75" customHeight="1">
      <c r="B505" s="3"/>
      <c r="C505" s="2"/>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2:27" ht="12.75" customHeight="1">
      <c r="B506" s="3"/>
      <c r="C506" s="2"/>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2:27" ht="12.75" customHeight="1">
      <c r="B507" s="3"/>
      <c r="C507" s="2"/>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2:27" ht="12.75" customHeight="1">
      <c r="B508" s="3"/>
      <c r="C508" s="2"/>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2:27" ht="12.75" customHeight="1">
      <c r="B509" s="3"/>
      <c r="C509" s="2"/>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2:27" ht="12.75" customHeight="1">
      <c r="B510" s="3"/>
      <c r="C510" s="2"/>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2:27" ht="12.75" customHeight="1">
      <c r="B511" s="3"/>
      <c r="C511" s="2"/>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2:27" ht="12.75" customHeight="1">
      <c r="B512" s="3"/>
      <c r="C512" s="2"/>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2:27" ht="12.75" customHeight="1">
      <c r="B513" s="3"/>
      <c r="C513" s="2"/>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2:27" ht="12.75" customHeight="1">
      <c r="B514" s="3"/>
      <c r="C514" s="2"/>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2:27" ht="12.75" customHeight="1">
      <c r="B515" s="3"/>
      <c r="C515" s="2"/>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2:27" ht="12.75" customHeight="1">
      <c r="B516" s="3"/>
      <c r="C516" s="2"/>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2:27" ht="12.75" customHeight="1">
      <c r="B517" s="3"/>
      <c r="C517" s="2"/>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2:27" ht="12.75" customHeight="1">
      <c r="B518" s="3"/>
      <c r="C518" s="2"/>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2:27" ht="12.75" customHeight="1">
      <c r="B519" s="3"/>
      <c r="C519" s="2"/>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2:27" ht="12.75" customHeight="1">
      <c r="B520" s="3"/>
      <c r="C520" s="2"/>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2:27" ht="12.75" customHeight="1">
      <c r="B521" s="3"/>
      <c r="C521" s="2"/>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2:27" ht="12.75" customHeight="1">
      <c r="B522" s="3"/>
      <c r="C522" s="2"/>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2:27" ht="12.75" customHeight="1">
      <c r="B523" s="3"/>
      <c r="C523" s="2"/>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2:27" ht="12.75" customHeight="1">
      <c r="B524" s="3"/>
      <c r="C524" s="2"/>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2:27" ht="12.75" customHeight="1">
      <c r="B525" s="3"/>
      <c r="C525" s="2"/>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2:27" ht="12.75" customHeight="1">
      <c r="B526" s="3"/>
      <c r="C526" s="2"/>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2:27" ht="12.75" customHeight="1">
      <c r="B527" s="3"/>
      <c r="C527" s="2"/>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2:27" ht="12.75" customHeight="1">
      <c r="B528" s="3"/>
      <c r="C528" s="2"/>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2:27" ht="12.75" customHeight="1">
      <c r="B529" s="3"/>
      <c r="C529" s="2"/>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2:27" ht="12.75" customHeight="1">
      <c r="B530" s="3"/>
      <c r="C530" s="2"/>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2:27" ht="12.75" customHeight="1">
      <c r="B531" s="3"/>
      <c r="C531" s="2"/>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2:27" ht="12.75" customHeight="1">
      <c r="B532" s="3"/>
      <c r="C532" s="2"/>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2:27" ht="12.75" customHeight="1">
      <c r="B533" s="3"/>
      <c r="C533" s="2"/>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2:27" ht="12.75" customHeight="1">
      <c r="B534" s="3"/>
      <c r="C534" s="2"/>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2:27" ht="12.75" customHeight="1">
      <c r="B535" s="3"/>
      <c r="C535" s="2"/>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2:27" ht="12.75" customHeight="1">
      <c r="B536" s="3"/>
      <c r="C536" s="2"/>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2:27" ht="12.75" customHeight="1">
      <c r="B537" s="3"/>
      <c r="C537" s="2"/>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2:27" ht="12.75" customHeight="1">
      <c r="B538" s="3"/>
      <c r="C538" s="2"/>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2:27" ht="12.75" customHeight="1">
      <c r="B539" s="3"/>
      <c r="C539" s="2"/>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2:27" ht="12.75" customHeight="1">
      <c r="B540" s="3"/>
      <c r="C540" s="2"/>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2:27" ht="12.75" customHeight="1">
      <c r="B541" s="3"/>
      <c r="C541" s="2"/>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2:27" ht="12.75" customHeight="1">
      <c r="B542" s="3"/>
      <c r="C542" s="2"/>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2:27" ht="12.75" customHeight="1">
      <c r="B543" s="3"/>
      <c r="C543" s="2"/>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2:27" ht="12.75" customHeight="1">
      <c r="B544" s="3"/>
      <c r="C544" s="2"/>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2:27" ht="12.75" customHeight="1">
      <c r="B545" s="3"/>
      <c r="C545" s="2"/>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2:27" ht="12.75" customHeight="1">
      <c r="B546" s="3"/>
      <c r="C546" s="2"/>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2:27" ht="12.75" customHeight="1">
      <c r="B547" s="3"/>
      <c r="C547" s="2"/>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2:27" ht="12.75" customHeight="1">
      <c r="B548" s="3"/>
      <c r="C548" s="2"/>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2:27" ht="12.75" customHeight="1">
      <c r="B549" s="3"/>
      <c r="C549" s="2"/>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2:27" ht="12.75" customHeight="1">
      <c r="B550" s="3"/>
      <c r="C550" s="2"/>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2:27" ht="12.75" customHeight="1">
      <c r="B551" s="3"/>
      <c r="C551" s="2"/>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2:27" ht="12.75" customHeight="1">
      <c r="B552" s="3"/>
      <c r="C552" s="2"/>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2:27" ht="12.75" customHeight="1">
      <c r="B553" s="3"/>
      <c r="C553" s="2"/>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2:27" ht="12.75" customHeight="1">
      <c r="B554" s="3"/>
      <c r="C554" s="2"/>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2:27" ht="12.75" customHeight="1">
      <c r="B555" s="3"/>
      <c r="C555" s="2"/>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2:27" ht="12.75" customHeight="1">
      <c r="B556" s="3"/>
      <c r="C556" s="2"/>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2:27" ht="12.75" customHeight="1">
      <c r="B557" s="3"/>
      <c r="C557" s="2"/>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2:27" ht="12.75" customHeight="1">
      <c r="B558" s="3"/>
      <c r="C558" s="2"/>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2:27" ht="12.75" customHeight="1">
      <c r="B559" s="3"/>
      <c r="C559" s="2"/>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2:27" ht="12.75" customHeight="1">
      <c r="B560" s="3"/>
      <c r="C560" s="2"/>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2:27" ht="12.75" customHeight="1">
      <c r="B561" s="3"/>
      <c r="C561" s="2"/>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2:27" ht="12.75" customHeight="1">
      <c r="B562" s="3"/>
      <c r="C562" s="2"/>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2:27" ht="12.75" customHeight="1">
      <c r="B563" s="3"/>
      <c r="C563" s="2"/>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2:27" ht="12.75" customHeight="1">
      <c r="B564" s="3"/>
      <c r="C564" s="2"/>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2:27" ht="12.75" customHeight="1">
      <c r="B565" s="3"/>
      <c r="C565" s="2"/>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2:27" ht="12.75" customHeight="1">
      <c r="B566" s="3"/>
      <c r="C566" s="2"/>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2:27" ht="12.75" customHeight="1">
      <c r="B567" s="3"/>
      <c r="C567" s="2"/>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2:27" ht="12.75" customHeight="1">
      <c r="B568" s="3"/>
      <c r="C568" s="2"/>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2:27" ht="12.75" customHeight="1">
      <c r="B569" s="3"/>
      <c r="C569" s="2"/>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2:27" ht="12.75" customHeight="1">
      <c r="B570" s="3"/>
      <c r="C570" s="2"/>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2:27" ht="12.75" customHeight="1">
      <c r="B571" s="3"/>
      <c r="C571" s="2"/>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2:27" ht="12.75" customHeight="1">
      <c r="B572" s="3"/>
      <c r="C572" s="2"/>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2:27" ht="12.75" customHeight="1">
      <c r="B573" s="3"/>
      <c r="C573" s="2"/>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2:27" ht="12.75" customHeight="1">
      <c r="B574" s="3"/>
      <c r="C574" s="2"/>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2:27" ht="12.75" customHeight="1">
      <c r="B575" s="3"/>
      <c r="C575" s="2"/>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2:27" ht="12.75" customHeight="1">
      <c r="B576" s="3"/>
      <c r="C576" s="2"/>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2:27" ht="12.75" customHeight="1">
      <c r="B577" s="3"/>
      <c r="C577" s="2"/>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2:27" ht="12.75" customHeight="1">
      <c r="B578" s="3"/>
      <c r="C578" s="2"/>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2:27" ht="12.75" customHeight="1">
      <c r="B579" s="3"/>
      <c r="C579" s="2"/>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2:27" ht="12.75" customHeight="1">
      <c r="B580" s="3"/>
      <c r="C580" s="2"/>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2:27" ht="12.75" customHeight="1">
      <c r="B581" s="3"/>
      <c r="C581" s="2"/>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2:27" ht="12.75" customHeight="1">
      <c r="B582" s="3"/>
      <c r="C582" s="2"/>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2:27" ht="12.75" customHeight="1">
      <c r="B583" s="3"/>
      <c r="C583" s="2"/>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2:27" ht="12.75" customHeight="1">
      <c r="B584" s="3"/>
      <c r="C584" s="2"/>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2:27" ht="12.75" customHeight="1">
      <c r="B585" s="3"/>
      <c r="C585" s="2"/>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2:27" ht="12.75" customHeight="1">
      <c r="B586" s="3"/>
      <c r="C586" s="2"/>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2:27" ht="12.75" customHeight="1">
      <c r="B587" s="3"/>
      <c r="C587" s="2"/>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2:27" ht="12.75" customHeight="1">
      <c r="B588" s="3"/>
      <c r="C588" s="2"/>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2:27" ht="12.75" customHeight="1">
      <c r="B589" s="3"/>
      <c r="C589" s="2"/>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2:27" ht="12.75" customHeight="1">
      <c r="B590" s="3"/>
      <c r="C590" s="2"/>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2:27" ht="12.75" customHeight="1">
      <c r="B591" s="3"/>
      <c r="C591" s="2"/>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2:27" ht="12.75" customHeight="1">
      <c r="B592" s="3"/>
      <c r="C592" s="2"/>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2:27" ht="12.75" customHeight="1">
      <c r="B593" s="3"/>
      <c r="C593" s="2"/>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2:27" ht="12.75" customHeight="1">
      <c r="B594" s="3"/>
      <c r="C594" s="2"/>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2:27" ht="12.75" customHeight="1">
      <c r="B595" s="3"/>
      <c r="C595" s="2"/>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2:27" ht="12.75" customHeight="1">
      <c r="B596" s="3"/>
      <c r="C596" s="2"/>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2:27" ht="12.75" customHeight="1">
      <c r="B597" s="3"/>
      <c r="C597" s="2"/>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2:27" ht="12.75" customHeight="1">
      <c r="B598" s="3"/>
      <c r="C598" s="2"/>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2:27" ht="12.75" customHeight="1">
      <c r="B599" s="3"/>
      <c r="C599" s="2"/>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2:27" ht="12.75" customHeight="1">
      <c r="B600" s="3"/>
      <c r="C600" s="2"/>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2:27" ht="12.75" customHeight="1">
      <c r="B601" s="3"/>
      <c r="C601" s="2"/>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2:27" ht="12.75" customHeight="1">
      <c r="B602" s="3"/>
      <c r="C602" s="2"/>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2:27" ht="12.75" customHeight="1">
      <c r="B603" s="3"/>
      <c r="C603" s="2"/>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2:27" ht="12.75" customHeight="1">
      <c r="B604" s="3"/>
      <c r="C604" s="2"/>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2:27" ht="12.75" customHeight="1">
      <c r="B605" s="3"/>
      <c r="C605" s="2"/>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2:27" ht="12.75" customHeight="1">
      <c r="B606" s="3"/>
      <c r="C606" s="2"/>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2:27" ht="12.75" customHeight="1">
      <c r="B607" s="3"/>
      <c r="C607" s="2"/>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2:27" ht="12.75" customHeight="1">
      <c r="B608" s="3"/>
      <c r="C608" s="2"/>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2:27" ht="12.75" customHeight="1">
      <c r="B609" s="3"/>
      <c r="C609" s="2"/>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2:27" ht="12.75" customHeight="1">
      <c r="B610" s="3"/>
      <c r="C610" s="2"/>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2:27" ht="12.75" customHeight="1">
      <c r="B611" s="3"/>
      <c r="C611" s="2"/>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2:27" ht="12.75" customHeight="1">
      <c r="B612" s="3"/>
      <c r="C612" s="2"/>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2:27" ht="12.75" customHeight="1">
      <c r="B613" s="3"/>
      <c r="C613" s="2"/>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2:27" ht="12.75" customHeight="1">
      <c r="B614" s="3"/>
      <c r="C614" s="2"/>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2:27" ht="12.75" customHeight="1">
      <c r="B615" s="3"/>
      <c r="C615" s="2"/>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2:27" ht="12.75" customHeight="1">
      <c r="B616" s="3"/>
      <c r="C616" s="2"/>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2:27" ht="12.75" customHeight="1">
      <c r="B617" s="3"/>
      <c r="C617" s="2"/>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2:27" ht="12.75" customHeight="1">
      <c r="B618" s="3"/>
      <c r="C618" s="2"/>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2:27" ht="12.75" customHeight="1">
      <c r="B619" s="3"/>
      <c r="C619" s="2"/>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2:27" ht="12.75" customHeight="1">
      <c r="B620" s="3"/>
      <c r="C620" s="2"/>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2:27" ht="12.75" customHeight="1">
      <c r="B621" s="3"/>
      <c r="C621" s="2"/>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2:27" ht="12.75" customHeight="1">
      <c r="B622" s="3"/>
      <c r="C622" s="2"/>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2:27" ht="12.75" customHeight="1">
      <c r="B623" s="3"/>
      <c r="C623" s="2"/>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2:27" ht="12.75" customHeight="1">
      <c r="B624" s="3"/>
      <c r="C624" s="2"/>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2:27" ht="12.75" customHeight="1">
      <c r="B625" s="3"/>
      <c r="C625" s="2"/>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2:27" ht="12.75" customHeight="1">
      <c r="B626" s="3"/>
      <c r="C626" s="2"/>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2:27" ht="12.75" customHeight="1">
      <c r="B627" s="3"/>
      <c r="C627" s="2"/>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2:27" ht="12.75" customHeight="1">
      <c r="B628" s="3"/>
      <c r="C628" s="2"/>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2:27" ht="12.75" customHeight="1">
      <c r="B629" s="3"/>
      <c r="C629" s="2"/>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2:27" ht="12.75" customHeight="1">
      <c r="B630" s="3"/>
      <c r="C630" s="2"/>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2:27" ht="12.75" customHeight="1">
      <c r="B631" s="3"/>
      <c r="C631" s="2"/>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2:27" ht="12.75" customHeight="1">
      <c r="B632" s="3"/>
      <c r="C632" s="2"/>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2:27" ht="12.75" customHeight="1">
      <c r="B633" s="3"/>
      <c r="C633" s="2"/>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2:27" ht="12.75" customHeight="1">
      <c r="B634" s="3"/>
      <c r="C634" s="2"/>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2:27" ht="12.75" customHeight="1">
      <c r="B635" s="3"/>
      <c r="C635" s="2"/>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2:27" ht="12.75" customHeight="1">
      <c r="B636" s="3"/>
      <c r="C636" s="2"/>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2:27" ht="12.75" customHeight="1">
      <c r="B637" s="3"/>
      <c r="C637" s="2"/>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2:27" ht="12.75" customHeight="1">
      <c r="B638" s="3"/>
      <c r="C638" s="2"/>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2:27" ht="12.75" customHeight="1">
      <c r="B639" s="3"/>
      <c r="C639" s="2"/>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2:27" ht="12.75" customHeight="1">
      <c r="B640" s="3"/>
      <c r="C640" s="2"/>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2:27" ht="12.75" customHeight="1">
      <c r="B641" s="3"/>
      <c r="C641" s="2"/>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2:27" ht="12.75" customHeight="1">
      <c r="B642" s="3"/>
      <c r="C642" s="2"/>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2:27" ht="12.75" customHeight="1">
      <c r="B643" s="3"/>
      <c r="C643" s="2"/>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2:27" ht="12.75" customHeight="1">
      <c r="B644" s="3"/>
      <c r="C644" s="2"/>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2:27" ht="12.75" customHeight="1">
      <c r="B645" s="3"/>
      <c r="C645" s="2"/>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2:27" ht="12.75" customHeight="1">
      <c r="B646" s="3"/>
      <c r="C646" s="2"/>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2:27" ht="12.75" customHeight="1">
      <c r="B647" s="3"/>
      <c r="C647" s="2"/>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2:27" ht="12.75" customHeight="1">
      <c r="B648" s="3"/>
      <c r="C648" s="2"/>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2:27" ht="12.75" customHeight="1">
      <c r="B649" s="3"/>
      <c r="C649" s="2"/>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2:27" ht="12.75" customHeight="1">
      <c r="B650" s="3"/>
      <c r="C650" s="2"/>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2:27" ht="12.75" customHeight="1">
      <c r="B651" s="3"/>
      <c r="C651" s="2"/>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2:27" ht="12.75" customHeight="1">
      <c r="B652" s="3"/>
      <c r="C652" s="2"/>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2:27" ht="12.75" customHeight="1">
      <c r="B653" s="3"/>
      <c r="C653" s="2"/>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2:27" ht="12.75" customHeight="1">
      <c r="B654" s="3"/>
      <c r="C654" s="2"/>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2:27" ht="12.75" customHeight="1">
      <c r="B655" s="3"/>
      <c r="C655" s="2"/>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2:27" ht="12.75" customHeight="1">
      <c r="B656" s="3"/>
      <c r="C656" s="2"/>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2:27" ht="12.75" customHeight="1">
      <c r="B657" s="3"/>
      <c r="C657" s="2"/>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2:27" ht="12.75" customHeight="1">
      <c r="B658" s="3"/>
      <c r="C658" s="2"/>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2:27" ht="12.75" customHeight="1">
      <c r="B659" s="3"/>
      <c r="C659" s="2"/>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2:27" ht="12.75" customHeight="1">
      <c r="B660" s="3"/>
      <c r="C660" s="2"/>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2:27" ht="12.75" customHeight="1">
      <c r="B661" s="3"/>
      <c r="C661" s="2"/>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2:27" ht="12.75" customHeight="1">
      <c r="B662" s="3"/>
      <c r="C662" s="2"/>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2:27" ht="12.75" customHeight="1">
      <c r="B663" s="3"/>
      <c r="C663" s="2"/>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2:27" ht="12.75" customHeight="1">
      <c r="B664" s="3"/>
      <c r="C664" s="2"/>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2:27" ht="12.75" customHeight="1">
      <c r="B665" s="3"/>
      <c r="C665" s="2"/>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2:27" ht="12.75" customHeight="1">
      <c r="B666" s="3"/>
      <c r="C666" s="2"/>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2:27" ht="12.75" customHeight="1">
      <c r="B667" s="3"/>
      <c r="C667" s="2"/>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2:27" ht="12.75" customHeight="1">
      <c r="B668" s="3"/>
      <c r="C668" s="2"/>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2:27" ht="12.75" customHeight="1">
      <c r="B669" s="3"/>
      <c r="C669" s="2"/>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2:27" ht="12.75" customHeight="1">
      <c r="B670" s="3"/>
      <c r="C670" s="2"/>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2:27" ht="12.75" customHeight="1">
      <c r="B671" s="3"/>
      <c r="C671" s="2"/>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2:27" ht="12.75" customHeight="1">
      <c r="B672" s="3"/>
      <c r="C672" s="2"/>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2:27" ht="12.75" customHeight="1">
      <c r="B673" s="3"/>
      <c r="C673" s="2"/>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2:27" ht="12.75" customHeight="1">
      <c r="B674" s="3"/>
      <c r="C674" s="2"/>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2:27" ht="12.75" customHeight="1">
      <c r="B675" s="3"/>
      <c r="C675" s="2"/>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2:27" ht="12.75" customHeight="1">
      <c r="B676" s="3"/>
      <c r="C676" s="2"/>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2:27" ht="12.75" customHeight="1">
      <c r="B677" s="3"/>
      <c r="C677" s="2"/>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2:27" ht="12.75" customHeight="1">
      <c r="B678" s="3"/>
      <c r="C678" s="2"/>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2:27" ht="12.75" customHeight="1">
      <c r="B679" s="3"/>
      <c r="C679" s="2"/>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2:27" ht="12.75" customHeight="1">
      <c r="B680" s="3"/>
      <c r="C680" s="2"/>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2:27" ht="12.75" customHeight="1">
      <c r="B681" s="3"/>
      <c r="C681" s="2"/>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2:27" ht="12.75" customHeight="1">
      <c r="B682" s="3"/>
      <c r="C682" s="2"/>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2:27" ht="12.75" customHeight="1">
      <c r="B683" s="3"/>
      <c r="C683" s="2"/>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2:27" ht="12.75" customHeight="1">
      <c r="B684" s="3"/>
      <c r="C684" s="2"/>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2:27" ht="12.75" customHeight="1">
      <c r="B685" s="3"/>
      <c r="C685" s="2"/>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2:27" ht="12.75" customHeight="1">
      <c r="B686" s="3"/>
      <c r="C686" s="2"/>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2:27" ht="12.75" customHeight="1">
      <c r="B687" s="3"/>
      <c r="C687" s="2"/>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2:27" ht="12.75" customHeight="1">
      <c r="B688" s="3"/>
      <c r="C688" s="2"/>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2:27" ht="12.75" customHeight="1">
      <c r="B689" s="3"/>
      <c r="C689" s="2"/>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2:27" ht="12.75" customHeight="1">
      <c r="B690" s="3"/>
      <c r="C690" s="2"/>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2:27" ht="12.75" customHeight="1">
      <c r="B691" s="3"/>
      <c r="C691" s="2"/>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2:27" ht="12.75" customHeight="1">
      <c r="B692" s="3"/>
      <c r="C692" s="2"/>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2:27" ht="12.75" customHeight="1">
      <c r="B693" s="3"/>
      <c r="C693" s="2"/>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2:27" ht="12.75" customHeight="1">
      <c r="B694" s="3"/>
      <c r="C694" s="2"/>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2:27" ht="12.75" customHeight="1">
      <c r="B695" s="3"/>
      <c r="C695" s="2"/>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2:27" ht="12.75" customHeight="1">
      <c r="B696" s="3"/>
      <c r="C696" s="2"/>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2:27" ht="12.75" customHeight="1">
      <c r="B697" s="3"/>
      <c r="C697" s="2"/>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2:27" ht="12.75" customHeight="1">
      <c r="B698" s="3"/>
      <c r="C698" s="2"/>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2:27" ht="12.75" customHeight="1">
      <c r="B699" s="3"/>
      <c r="C699" s="2"/>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2:27" ht="12.75" customHeight="1">
      <c r="B700" s="3"/>
      <c r="C700" s="2"/>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2:27" ht="12.75" customHeight="1">
      <c r="B701" s="3"/>
      <c r="C701" s="2"/>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2:27" ht="12.75" customHeight="1">
      <c r="B702" s="3"/>
      <c r="C702" s="2"/>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2:27" ht="12.75" customHeight="1">
      <c r="B703" s="3"/>
      <c r="C703" s="2"/>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2:27" ht="12.75" customHeight="1">
      <c r="B704" s="3"/>
      <c r="C704" s="2"/>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2:27" ht="12.75" customHeight="1">
      <c r="B705" s="3"/>
      <c r="C705" s="2"/>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2:27" ht="12.75" customHeight="1">
      <c r="B706" s="3"/>
      <c r="C706" s="2"/>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2:27" ht="12.75" customHeight="1">
      <c r="B707" s="3"/>
      <c r="C707" s="2"/>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2:27" ht="12.75" customHeight="1">
      <c r="B708" s="3"/>
      <c r="C708" s="2"/>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2:27" ht="12.75" customHeight="1">
      <c r="B709" s="3"/>
      <c r="C709" s="2"/>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2:27" ht="12.75" customHeight="1">
      <c r="B710" s="3"/>
      <c r="C710" s="2"/>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2:27" ht="12.75" customHeight="1">
      <c r="B711" s="3"/>
      <c r="C711" s="2"/>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2:27" ht="12.75" customHeight="1">
      <c r="B712" s="3"/>
      <c r="C712" s="2"/>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2:27" ht="12.75" customHeight="1">
      <c r="B713" s="3"/>
      <c r="C713" s="2"/>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2:27" ht="12.75" customHeight="1">
      <c r="B714" s="3"/>
      <c r="C714" s="2"/>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2:27" ht="12.75" customHeight="1">
      <c r="B715" s="3"/>
      <c r="C715" s="2"/>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2:27" ht="12.75" customHeight="1">
      <c r="B716" s="3"/>
      <c r="C716" s="2"/>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2:27" ht="12.75" customHeight="1">
      <c r="B717" s="3"/>
      <c r="C717" s="2"/>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2:27" ht="12.75" customHeight="1">
      <c r="B718" s="3"/>
      <c r="C718" s="2"/>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2:27" ht="12.75" customHeight="1">
      <c r="B719" s="3"/>
      <c r="C719" s="2"/>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2:27" ht="12.75" customHeight="1">
      <c r="B720" s="3"/>
      <c r="C720" s="2"/>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2:27" ht="12.75" customHeight="1">
      <c r="B721" s="3"/>
      <c r="C721" s="2"/>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2:27" ht="12.75" customHeight="1">
      <c r="B722" s="3"/>
      <c r="C722" s="2"/>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2:27" ht="12.75" customHeight="1">
      <c r="B723" s="3"/>
      <c r="C723" s="2"/>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2:27" ht="12.75" customHeight="1">
      <c r="B724" s="3"/>
      <c r="C724" s="2"/>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2:27" ht="12.75" customHeight="1">
      <c r="B725" s="3"/>
      <c r="C725" s="2"/>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2:27" ht="12.75" customHeight="1">
      <c r="B726" s="3"/>
      <c r="C726" s="2"/>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2:27" ht="12.75" customHeight="1">
      <c r="B727" s="3"/>
      <c r="C727" s="2"/>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2:27" ht="12.75" customHeight="1">
      <c r="B728" s="3"/>
      <c r="C728" s="2"/>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2:27" ht="12.75" customHeight="1">
      <c r="B729" s="3"/>
      <c r="C729" s="2"/>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2:27" ht="12.75" customHeight="1">
      <c r="B730" s="3"/>
      <c r="C730" s="2"/>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2:27" ht="12.75" customHeight="1">
      <c r="B731" s="3"/>
      <c r="C731" s="2"/>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2:27" ht="12.75" customHeight="1">
      <c r="B732" s="3"/>
      <c r="C732" s="2"/>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2:27" ht="12.75" customHeight="1">
      <c r="B733" s="3"/>
      <c r="C733" s="2"/>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2:27" ht="12.75" customHeight="1">
      <c r="B734" s="3"/>
      <c r="C734" s="2"/>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2:27" ht="12.75" customHeight="1">
      <c r="B735" s="3"/>
      <c r="C735" s="2"/>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2:27" ht="12.75" customHeight="1">
      <c r="B736" s="3"/>
      <c r="C736" s="2"/>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2:27" ht="12.75" customHeight="1">
      <c r="B737" s="3"/>
      <c r="C737" s="2"/>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2:27" ht="12.75" customHeight="1">
      <c r="B738" s="3"/>
      <c r="C738" s="2"/>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2:27" ht="12.75" customHeight="1">
      <c r="B739" s="3"/>
      <c r="C739" s="2"/>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2:27" ht="12.75" customHeight="1">
      <c r="B740" s="3"/>
      <c r="C740" s="2"/>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2:27" ht="12.75" customHeight="1">
      <c r="B741" s="3"/>
      <c r="C741" s="2"/>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2:27" ht="12.75" customHeight="1">
      <c r="B742" s="3"/>
      <c r="C742" s="2"/>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2:27" ht="12.75" customHeight="1">
      <c r="B743" s="3"/>
      <c r="C743" s="2"/>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2:27" ht="12.75" customHeight="1">
      <c r="B744" s="3"/>
      <c r="C744" s="2"/>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2:27" ht="12.75" customHeight="1">
      <c r="B745" s="3"/>
      <c r="C745" s="2"/>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2:27" ht="12.75" customHeight="1">
      <c r="B746" s="3"/>
      <c r="C746" s="2"/>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2:27" ht="12.75" customHeight="1">
      <c r="B747" s="3"/>
      <c r="C747" s="2"/>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2:27" ht="12.75" customHeight="1">
      <c r="B748" s="3"/>
      <c r="C748" s="2"/>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2:27" ht="12.75" customHeight="1">
      <c r="B749" s="3"/>
      <c r="C749" s="2"/>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2:27" ht="12.75" customHeight="1">
      <c r="B750" s="3"/>
      <c r="C750" s="2"/>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2:27" ht="12.75" customHeight="1">
      <c r="B751" s="3"/>
      <c r="C751" s="2"/>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2:27" ht="12.75" customHeight="1">
      <c r="B752" s="3"/>
      <c r="C752" s="2"/>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2:27" ht="12.75" customHeight="1">
      <c r="B753" s="3"/>
      <c r="C753" s="2"/>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2:27" ht="12.75" customHeight="1">
      <c r="B754" s="3"/>
      <c r="C754" s="2"/>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2:27" ht="12.75" customHeight="1">
      <c r="B755" s="3"/>
      <c r="C755" s="2"/>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2:27" ht="12.75" customHeight="1">
      <c r="B756" s="3"/>
      <c r="C756" s="2"/>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2:27" ht="12.75" customHeight="1">
      <c r="B757" s="3"/>
      <c r="C757" s="2"/>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2:27" ht="12.75" customHeight="1">
      <c r="B758" s="3"/>
      <c r="C758" s="2"/>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2:27" ht="12.75" customHeight="1">
      <c r="B759" s="3"/>
      <c r="C759" s="2"/>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2:27" ht="12.75" customHeight="1">
      <c r="B760" s="3"/>
      <c r="C760" s="2"/>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2:27" ht="12.75" customHeight="1">
      <c r="B761" s="3"/>
      <c r="C761" s="2"/>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2:27" ht="12.75" customHeight="1">
      <c r="B762" s="3"/>
      <c r="C762" s="2"/>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2:27" ht="12.75" customHeight="1">
      <c r="B763" s="3"/>
      <c r="C763" s="2"/>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2:27" ht="12.75" customHeight="1">
      <c r="B764" s="3"/>
      <c r="C764" s="2"/>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2:27" ht="12.75" customHeight="1">
      <c r="B765" s="3"/>
      <c r="C765" s="2"/>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2:27" ht="12.75" customHeight="1">
      <c r="B766" s="3"/>
      <c r="C766" s="2"/>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2:27" ht="12.75" customHeight="1">
      <c r="B767" s="3"/>
      <c r="C767" s="2"/>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2:27" ht="12.75" customHeight="1">
      <c r="B768" s="3"/>
      <c r="C768" s="2"/>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2:27" ht="12.75" customHeight="1">
      <c r="B769" s="3"/>
      <c r="C769" s="2"/>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2:27" ht="12.75" customHeight="1">
      <c r="B770" s="3"/>
      <c r="C770" s="2"/>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2:27" ht="12.75" customHeight="1">
      <c r="B771" s="3"/>
      <c r="C771" s="2"/>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2:27" ht="12.75" customHeight="1">
      <c r="B772" s="3"/>
      <c r="C772" s="2"/>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2:27" ht="12.75" customHeight="1">
      <c r="B773" s="3"/>
      <c r="C773" s="2"/>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2:27" ht="12.75" customHeight="1">
      <c r="B774" s="3"/>
      <c r="C774" s="2"/>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2:27" ht="12.75" customHeight="1">
      <c r="B775" s="3"/>
      <c r="C775" s="2"/>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2:27" ht="12.75" customHeight="1">
      <c r="B776" s="3"/>
      <c r="C776" s="2"/>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2:27" ht="12.75" customHeight="1">
      <c r="B777" s="3"/>
      <c r="C777" s="2"/>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2:27" ht="12.75" customHeight="1">
      <c r="B778" s="3"/>
      <c r="C778" s="2"/>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2:27" ht="12.75" customHeight="1">
      <c r="B779" s="3"/>
      <c r="C779" s="2"/>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2:27" ht="12.75" customHeight="1">
      <c r="B780" s="3"/>
      <c r="C780" s="2"/>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2:27" ht="12.75" customHeight="1">
      <c r="B781" s="3"/>
      <c r="C781" s="2"/>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2:27" ht="12.75" customHeight="1">
      <c r="B782" s="3"/>
      <c r="C782" s="2"/>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2:27" ht="12.75" customHeight="1">
      <c r="B783" s="3"/>
      <c r="C783" s="2"/>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2:27" ht="12.75" customHeight="1">
      <c r="B784" s="3"/>
      <c r="C784" s="2"/>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2:27" ht="12.75" customHeight="1">
      <c r="B785" s="3"/>
      <c r="C785" s="2"/>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2:27" ht="12.75" customHeight="1">
      <c r="B786" s="3"/>
      <c r="C786" s="2"/>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2:27" ht="12.75" customHeight="1">
      <c r="B787" s="3"/>
      <c r="C787" s="2"/>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2:27" ht="12.75" customHeight="1">
      <c r="B788" s="3"/>
      <c r="C788" s="2"/>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2:27" ht="12.75" customHeight="1">
      <c r="B789" s="3"/>
      <c r="C789" s="2"/>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2:27" ht="12.75" customHeight="1">
      <c r="B790" s="3"/>
      <c r="C790" s="2"/>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2:27" ht="12.75" customHeight="1">
      <c r="B791" s="3"/>
      <c r="C791" s="2"/>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2:27" ht="12.75" customHeight="1">
      <c r="B792" s="3"/>
      <c r="C792" s="2"/>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2:27" ht="12.75" customHeight="1">
      <c r="B793" s="3"/>
      <c r="C793" s="2"/>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2:27" ht="12.75" customHeight="1">
      <c r="B794" s="3"/>
      <c r="C794" s="2"/>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2:27" ht="12.75" customHeight="1">
      <c r="B795" s="3"/>
      <c r="C795" s="2"/>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2:27" ht="12.75" customHeight="1">
      <c r="B796" s="3"/>
      <c r="C796" s="2"/>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2:27" ht="12.75" customHeight="1">
      <c r="B797" s="3"/>
      <c r="C797" s="2"/>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2:27" ht="12.75" customHeight="1">
      <c r="B798" s="3"/>
      <c r="C798" s="2"/>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2:27" ht="12.75" customHeight="1">
      <c r="B799" s="3"/>
      <c r="C799" s="2"/>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2:27" ht="12.75" customHeight="1">
      <c r="B800" s="3"/>
      <c r="C800" s="2"/>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2:27" ht="12.75" customHeight="1">
      <c r="B801" s="3"/>
      <c r="C801" s="2"/>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2:27" ht="12.75" customHeight="1">
      <c r="B802" s="3"/>
      <c r="C802" s="2"/>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2:27" ht="12.75" customHeight="1">
      <c r="B803" s="3"/>
      <c r="C803" s="2"/>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2:27" ht="12.75" customHeight="1">
      <c r="B804" s="3"/>
      <c r="C804" s="2"/>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2:27" ht="12.75" customHeight="1">
      <c r="B805" s="3"/>
      <c r="C805" s="2"/>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2:27" ht="12.75" customHeight="1">
      <c r="B806" s="3"/>
      <c r="C806" s="2"/>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2:27" ht="12.75" customHeight="1">
      <c r="B807" s="3"/>
      <c r="C807" s="2"/>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2:27" ht="12.75" customHeight="1">
      <c r="B808" s="3"/>
      <c r="C808" s="2"/>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2:27" ht="12.75" customHeight="1">
      <c r="B809" s="3"/>
      <c r="C809" s="2"/>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2:27" ht="12.75" customHeight="1">
      <c r="B810" s="3"/>
      <c r="C810" s="2"/>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2:27" ht="12.75" customHeight="1">
      <c r="B811" s="3"/>
      <c r="C811" s="2"/>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2:27" ht="12.75" customHeight="1">
      <c r="B812" s="3"/>
      <c r="C812" s="2"/>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2:27" ht="12.75" customHeight="1">
      <c r="B813" s="3"/>
      <c r="C813" s="2"/>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2:27" ht="12.75" customHeight="1">
      <c r="B814" s="3"/>
      <c r="C814" s="2"/>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2:27" ht="12.75" customHeight="1">
      <c r="B815" s="3"/>
      <c r="C815" s="2"/>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2:27" ht="12.75" customHeight="1">
      <c r="B816" s="3"/>
      <c r="C816" s="2"/>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2:27" ht="12.75" customHeight="1">
      <c r="B817" s="3"/>
      <c r="C817" s="2"/>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2:27" ht="12.75" customHeight="1">
      <c r="B818" s="3"/>
      <c r="C818" s="2"/>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2:27" ht="12.75" customHeight="1">
      <c r="B819" s="3"/>
      <c r="C819" s="2"/>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2:27" ht="12.75" customHeight="1">
      <c r="B820" s="3"/>
      <c r="C820" s="2"/>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2:27" ht="12.75" customHeight="1">
      <c r="B821" s="3"/>
      <c r="C821" s="2"/>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2:27" ht="12.75" customHeight="1">
      <c r="B822" s="3"/>
      <c r="C822" s="2"/>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2:27" ht="12.75" customHeight="1">
      <c r="B823" s="3"/>
      <c r="C823" s="2"/>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2:27" ht="12.75" customHeight="1">
      <c r="B824" s="3"/>
      <c r="C824" s="2"/>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2:27" ht="12.75" customHeight="1">
      <c r="B825" s="3"/>
      <c r="C825" s="2"/>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2:27" ht="12.75" customHeight="1">
      <c r="B826" s="3"/>
      <c r="C826" s="2"/>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2:27" ht="12.75" customHeight="1">
      <c r="B827" s="3"/>
      <c r="C827" s="2"/>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2:27" ht="12.75" customHeight="1">
      <c r="B828" s="3"/>
      <c r="C828" s="2"/>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2:27" ht="12.75" customHeight="1">
      <c r="B829" s="3"/>
      <c r="C829" s="2"/>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2:27" ht="12.75" customHeight="1">
      <c r="B830" s="3"/>
      <c r="C830" s="2"/>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2:27" ht="12.75" customHeight="1">
      <c r="B831" s="3"/>
      <c r="C831" s="2"/>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2:27" ht="12.75" customHeight="1">
      <c r="B832" s="3"/>
      <c r="C832" s="2"/>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2:27" ht="12.75" customHeight="1">
      <c r="B833" s="3"/>
      <c r="C833" s="2"/>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2:27" ht="12.75" customHeight="1">
      <c r="B834" s="3"/>
      <c r="C834" s="2"/>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2:27" ht="12.75" customHeight="1">
      <c r="B835" s="3"/>
      <c r="C835" s="2"/>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2:27" ht="12.75" customHeight="1">
      <c r="B836" s="3"/>
      <c r="C836" s="2"/>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2:27" ht="12.75" customHeight="1">
      <c r="B837" s="3"/>
      <c r="C837" s="2"/>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2:27" ht="12.75" customHeight="1">
      <c r="B838" s="3"/>
      <c r="C838" s="2"/>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2:27" ht="12.75" customHeight="1">
      <c r="B839" s="3"/>
      <c r="C839" s="2"/>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2:27" ht="12.75" customHeight="1">
      <c r="B840" s="3"/>
      <c r="C840" s="2"/>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2:27" ht="12.75" customHeight="1">
      <c r="B841" s="3"/>
      <c r="C841" s="2"/>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2:27" ht="12.75" customHeight="1">
      <c r="B842" s="3"/>
      <c r="C842" s="2"/>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2:27" ht="12.75" customHeight="1">
      <c r="B843" s="3"/>
      <c r="C843" s="2"/>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2:27" ht="12.75" customHeight="1">
      <c r="B844" s="3"/>
      <c r="C844" s="2"/>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2:27" ht="12.75" customHeight="1">
      <c r="B845" s="3"/>
      <c r="C845" s="2"/>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2:27" ht="12.75" customHeight="1">
      <c r="B846" s="3"/>
      <c r="C846" s="2"/>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2:27" ht="12.75" customHeight="1">
      <c r="B847" s="3"/>
      <c r="C847" s="2"/>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2:27" ht="12.75" customHeight="1">
      <c r="B848" s="3"/>
      <c r="C848" s="2"/>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2:27" ht="12.75" customHeight="1">
      <c r="B849" s="3"/>
      <c r="C849" s="2"/>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2:27" ht="12.75" customHeight="1">
      <c r="B850" s="3"/>
      <c r="C850" s="2"/>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2:27" ht="12.75" customHeight="1">
      <c r="B851" s="3"/>
      <c r="C851" s="2"/>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2:27" ht="12.75" customHeight="1">
      <c r="B852" s="3"/>
      <c r="C852" s="2"/>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2:27" ht="12.75" customHeight="1">
      <c r="B853" s="3"/>
      <c r="C853" s="2"/>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2:27" ht="12.75" customHeight="1">
      <c r="B854" s="3"/>
      <c r="C854" s="2"/>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2:27" ht="12.75" customHeight="1">
      <c r="B855" s="3"/>
      <c r="C855" s="2"/>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2:27" ht="12.75" customHeight="1">
      <c r="B856" s="3"/>
      <c r="C856" s="2"/>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2:27" ht="12.75" customHeight="1">
      <c r="B857" s="3"/>
      <c r="C857" s="2"/>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2:27" ht="12.75" customHeight="1">
      <c r="B858" s="3"/>
      <c r="C858" s="2"/>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2:27" ht="12.75" customHeight="1">
      <c r="B859" s="3"/>
      <c r="C859" s="2"/>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2:27" ht="12.75" customHeight="1">
      <c r="B860" s="3"/>
      <c r="C860" s="2"/>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2:27" ht="12.75" customHeight="1">
      <c r="B861" s="3"/>
      <c r="C861" s="2"/>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2:27" ht="12.75" customHeight="1">
      <c r="B862" s="3"/>
      <c r="C862" s="2"/>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2:27" ht="12.75" customHeight="1">
      <c r="B863" s="3"/>
      <c r="C863" s="2"/>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2:27" ht="12.75" customHeight="1">
      <c r="B864" s="3"/>
      <c r="C864" s="2"/>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2:27" ht="12.75" customHeight="1">
      <c r="B865" s="3"/>
      <c r="C865" s="2"/>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2:27" ht="12.75" customHeight="1">
      <c r="B866" s="3"/>
      <c r="C866" s="2"/>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2:27" ht="12.75" customHeight="1">
      <c r="B867" s="3"/>
      <c r="C867" s="2"/>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2:27" ht="12.75" customHeight="1">
      <c r="B868" s="3"/>
      <c r="C868" s="2"/>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2:27" ht="12.75" customHeight="1">
      <c r="B869" s="3"/>
      <c r="C869" s="2"/>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2:27" ht="12.75" customHeight="1">
      <c r="B870" s="3"/>
      <c r="C870" s="2"/>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2:27" ht="12.75" customHeight="1">
      <c r="B871" s="3"/>
      <c r="C871" s="2"/>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2:27" ht="12.75" customHeight="1">
      <c r="B872" s="3"/>
      <c r="C872" s="2"/>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2:27" ht="12.75" customHeight="1">
      <c r="B873" s="3"/>
      <c r="C873" s="2"/>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2:27" ht="12.75" customHeight="1">
      <c r="B874" s="3"/>
      <c r="C874" s="2"/>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2:27" ht="12.75" customHeight="1">
      <c r="B875" s="3"/>
      <c r="C875" s="2"/>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2:27" ht="12.75" customHeight="1">
      <c r="B876" s="3"/>
      <c r="C876" s="2"/>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2:27" ht="12.75" customHeight="1">
      <c r="B877" s="3"/>
      <c r="C877" s="2"/>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2:27" ht="12.75" customHeight="1">
      <c r="B878" s="3"/>
      <c r="C878" s="2"/>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2:27" ht="12.75" customHeight="1">
      <c r="B879" s="3"/>
      <c r="C879" s="2"/>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2:27" ht="12.75" customHeight="1">
      <c r="B880" s="3"/>
      <c r="C880" s="2"/>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2:27" ht="12.75" customHeight="1">
      <c r="B881" s="3"/>
      <c r="C881" s="2"/>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2:27" ht="12.75" customHeight="1">
      <c r="B882" s="3"/>
      <c r="C882" s="2"/>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2:27" ht="12.75" customHeight="1">
      <c r="B883" s="3"/>
      <c r="C883" s="2"/>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2:27" ht="12.75" customHeight="1">
      <c r="B884" s="3"/>
      <c r="C884" s="2"/>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2:27" ht="12.75" customHeight="1">
      <c r="B885" s="3"/>
      <c r="C885" s="2"/>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2:27" ht="12.75" customHeight="1">
      <c r="B886" s="3"/>
      <c r="C886" s="2"/>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2:27" ht="12.75" customHeight="1">
      <c r="B887" s="3"/>
      <c r="C887" s="2"/>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2:27" ht="12.75" customHeight="1">
      <c r="B888" s="3"/>
      <c r="C888" s="2"/>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2:27" ht="12.75" customHeight="1">
      <c r="B889" s="3"/>
      <c r="C889" s="2"/>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2:27" ht="12.75" customHeight="1">
      <c r="B890" s="3"/>
      <c r="C890" s="2"/>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2:27" ht="12.75" customHeight="1">
      <c r="B891" s="3"/>
      <c r="C891" s="2"/>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2:27" ht="12.75" customHeight="1">
      <c r="B892" s="3"/>
      <c r="C892" s="2"/>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2:27" ht="12.75" customHeight="1">
      <c r="B893" s="3"/>
      <c r="C893" s="2"/>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2:27" ht="12.75" customHeight="1">
      <c r="B894" s="3"/>
      <c r="C894" s="2"/>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2:27" ht="12.75" customHeight="1">
      <c r="B895" s="3"/>
      <c r="C895" s="2"/>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2:27" ht="12.75" customHeight="1">
      <c r="B896" s="3"/>
      <c r="C896" s="2"/>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2:27" ht="12.75" customHeight="1">
      <c r="B897" s="3"/>
      <c r="C897" s="2"/>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2:27" ht="12.75" customHeight="1">
      <c r="B898" s="3"/>
      <c r="C898" s="2"/>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2:27" ht="12.75" customHeight="1">
      <c r="B899" s="3"/>
      <c r="C899" s="2"/>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2:27" ht="12.75" customHeight="1">
      <c r="B900" s="3"/>
      <c r="C900" s="2"/>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2:27" ht="12.75" customHeight="1">
      <c r="B901" s="3"/>
      <c r="C901" s="2"/>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2:27" ht="12.75" customHeight="1">
      <c r="B902" s="3"/>
      <c r="C902" s="2"/>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2:27" ht="12.75" customHeight="1">
      <c r="B903" s="3"/>
      <c r="C903" s="2"/>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2:27" ht="12.75" customHeight="1">
      <c r="B904" s="3"/>
      <c r="C904" s="2"/>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2:27" ht="12.75" customHeight="1">
      <c r="B905" s="3"/>
      <c r="C905" s="2"/>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2:27" ht="12.75" customHeight="1">
      <c r="B906" s="3"/>
      <c r="C906" s="2"/>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2:27" ht="12.75" customHeight="1">
      <c r="B907" s="3"/>
      <c r="C907" s="2"/>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2:27" ht="12.75" customHeight="1">
      <c r="B908" s="3"/>
      <c r="C908" s="2"/>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2:27" ht="12.75" customHeight="1">
      <c r="B909" s="3"/>
      <c r="C909" s="2"/>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2:27" ht="12.75" customHeight="1">
      <c r="B910" s="3"/>
      <c r="C910" s="2"/>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2:27" ht="12.75" customHeight="1">
      <c r="B911" s="3"/>
      <c r="C911" s="2"/>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2:27" ht="12.75" customHeight="1">
      <c r="B912" s="3"/>
      <c r="C912" s="2"/>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2:27" ht="12.75" customHeight="1">
      <c r="B913" s="3"/>
      <c r="C913" s="2"/>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2:27" ht="12.75" customHeight="1">
      <c r="B914" s="3"/>
      <c r="C914" s="2"/>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2:27" ht="12.75" customHeight="1">
      <c r="B915" s="3"/>
      <c r="C915" s="2"/>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2:27" ht="12.75" customHeight="1">
      <c r="B916" s="3"/>
      <c r="C916" s="2"/>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2:27" ht="12.75" customHeight="1">
      <c r="B917" s="3"/>
      <c r="C917" s="2"/>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2:27" ht="12.75" customHeight="1">
      <c r="B918" s="3"/>
      <c r="C918" s="2"/>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2:27" ht="12.75" customHeight="1">
      <c r="B919" s="3"/>
      <c r="C919" s="2"/>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2:27" ht="12.75" customHeight="1">
      <c r="B920" s="3"/>
      <c r="C920" s="2"/>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2:27" ht="12.75" customHeight="1">
      <c r="B921" s="3"/>
      <c r="C921" s="2"/>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2:27" ht="12.75" customHeight="1">
      <c r="B922" s="3"/>
      <c r="C922" s="2"/>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2:27" ht="12.75" customHeight="1">
      <c r="B923" s="3"/>
      <c r="C923" s="2"/>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2:27" ht="12.75" customHeight="1">
      <c r="B924" s="3"/>
      <c r="C924" s="2"/>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2:27" ht="12.75" customHeight="1">
      <c r="B925" s="3"/>
      <c r="C925" s="2"/>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2:27" ht="12.75" customHeight="1">
      <c r="B926" s="3"/>
      <c r="C926" s="2"/>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2:27" ht="12.75" customHeight="1">
      <c r="B927" s="3"/>
      <c r="C927" s="2"/>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2:27" ht="12.75" customHeight="1">
      <c r="B928" s="3"/>
      <c r="C928" s="2"/>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2:27" ht="12.75" customHeight="1">
      <c r="B929" s="3"/>
      <c r="C929" s="2"/>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2:27" ht="12.75" customHeight="1">
      <c r="B930" s="3"/>
      <c r="C930" s="2"/>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2:27" ht="12.75" customHeight="1">
      <c r="B931" s="3"/>
      <c r="C931" s="2"/>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2:27" ht="12.75" customHeight="1">
      <c r="B932" s="3"/>
      <c r="C932" s="2"/>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2:27" ht="12.75" customHeight="1">
      <c r="B933" s="3"/>
      <c r="C933" s="2"/>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2:27" ht="12.75" customHeight="1">
      <c r="B934" s="3"/>
      <c r="C934" s="2"/>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2:27" ht="12.75" customHeight="1">
      <c r="B935" s="3"/>
      <c r="C935" s="2"/>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2:27" ht="12.75" customHeight="1">
      <c r="B936" s="3"/>
      <c r="C936" s="2"/>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2:27" ht="12.75" customHeight="1">
      <c r="B937" s="3"/>
      <c r="C937" s="2"/>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2:27" ht="12.75" customHeight="1">
      <c r="B938" s="3"/>
      <c r="C938" s="2"/>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2:27" ht="12.75" customHeight="1">
      <c r="B939" s="3"/>
      <c r="C939" s="2"/>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2:27" ht="12.75" customHeight="1">
      <c r="B940" s="3"/>
      <c r="C940" s="2"/>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2:27" ht="12.75" customHeight="1">
      <c r="B941" s="3"/>
      <c r="C941" s="2"/>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2:27" ht="12.75" customHeight="1">
      <c r="B942" s="3"/>
      <c r="C942" s="2"/>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2:27" ht="12.75" customHeight="1">
      <c r="B943" s="3"/>
      <c r="C943" s="2"/>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2:27" ht="12.75" customHeight="1">
      <c r="B944" s="3"/>
      <c r="C944" s="2"/>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2:27" ht="12.75" customHeight="1">
      <c r="B945" s="3"/>
      <c r="C945" s="2"/>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2:27" ht="12.75" customHeight="1">
      <c r="B946" s="3"/>
      <c r="C946" s="2"/>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2:27" ht="12.75" customHeight="1">
      <c r="B947" s="3"/>
      <c r="C947" s="2"/>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2:27" ht="12.75" customHeight="1">
      <c r="B948" s="3"/>
      <c r="C948" s="2"/>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2:27" ht="12.75" customHeight="1">
      <c r="B949" s="3"/>
      <c r="C949" s="2"/>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2:27" ht="12.75" customHeight="1">
      <c r="B950" s="3"/>
      <c r="C950" s="2"/>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2:27" ht="12.75" customHeight="1">
      <c r="B951" s="3"/>
      <c r="C951" s="2"/>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2:27" ht="12.75" customHeight="1">
      <c r="B952" s="3"/>
      <c r="C952" s="2"/>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2:27" ht="12.75" customHeight="1">
      <c r="B953" s="3"/>
      <c r="C953" s="2"/>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2:27" ht="12.75" customHeight="1">
      <c r="B954" s="3"/>
      <c r="C954" s="2"/>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2:27" ht="12.75" customHeight="1">
      <c r="B955" s="3"/>
      <c r="C955" s="2"/>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2:27" ht="12.75" customHeight="1">
      <c r="B956" s="3"/>
      <c r="C956" s="2"/>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2:27" ht="12.75" customHeight="1">
      <c r="B957" s="3"/>
      <c r="C957" s="2"/>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2:27" ht="12.75" customHeight="1">
      <c r="B958" s="3"/>
      <c r="C958" s="2"/>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2:27" ht="12.75" customHeight="1">
      <c r="B959" s="3"/>
      <c r="C959" s="2"/>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2:27" ht="12.75" customHeight="1">
      <c r="B960" s="3"/>
      <c r="C960" s="2"/>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2:27" ht="12.75" customHeight="1">
      <c r="B961" s="3"/>
      <c r="C961" s="2"/>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2:27" ht="12.75" customHeight="1">
      <c r="B962" s="3"/>
      <c r="C962" s="2"/>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2:27" ht="12.75" customHeight="1">
      <c r="B963" s="3"/>
      <c r="C963" s="2"/>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2:27" ht="12.75" customHeight="1">
      <c r="B964" s="3"/>
      <c r="C964" s="2"/>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2:27" ht="12.75" customHeight="1">
      <c r="B965" s="3"/>
      <c r="C965" s="2"/>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2:27" ht="12.75" customHeight="1">
      <c r="B966" s="3"/>
      <c r="C966" s="2"/>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2:27" ht="12.75" customHeight="1">
      <c r="B967" s="3"/>
      <c r="C967" s="2"/>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2:27" ht="12.75" customHeight="1">
      <c r="B968" s="3"/>
      <c r="C968" s="2"/>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2:27" ht="12.75" customHeight="1">
      <c r="B969" s="3"/>
      <c r="C969" s="2"/>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2:27" ht="12.75" customHeight="1">
      <c r="B970" s="3"/>
      <c r="C970" s="2"/>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2:27" ht="12.75" customHeight="1">
      <c r="B971" s="3"/>
      <c r="C971" s="2"/>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2:27" ht="12.75" customHeight="1">
      <c r="B972" s="3"/>
      <c r="C972" s="2"/>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2:27" ht="12.75" customHeight="1">
      <c r="B973" s="3"/>
      <c r="C973" s="2"/>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2:27" ht="12.75" customHeight="1">
      <c r="B974" s="3"/>
      <c r="C974" s="2"/>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2:27" ht="12.75" customHeight="1">
      <c r="B975" s="3"/>
      <c r="C975" s="2"/>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2:27" ht="12.75" customHeight="1">
      <c r="B976" s="3"/>
      <c r="C976" s="2"/>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2:27" ht="12.75" customHeight="1">
      <c r="B977" s="3"/>
      <c r="C977" s="2"/>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2:27" ht="12.75" customHeight="1">
      <c r="B978" s="3"/>
      <c r="C978" s="2"/>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2:27" ht="12.75" customHeight="1">
      <c r="B979" s="3"/>
      <c r="C979" s="2"/>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2:27" ht="12.75" customHeight="1">
      <c r="B980" s="3"/>
      <c r="C980" s="2"/>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2:27" ht="12.75" customHeight="1">
      <c r="B981" s="3"/>
      <c r="C981" s="2"/>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2:27" ht="12.75" customHeight="1">
      <c r="B982" s="3"/>
      <c r="C982" s="2"/>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2:27" ht="12.75" customHeight="1">
      <c r="B983" s="3"/>
      <c r="C983" s="2"/>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2:27" ht="12.75" customHeight="1">
      <c r="B984" s="3"/>
      <c r="C984" s="2"/>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2:27" ht="12.75" customHeight="1">
      <c r="B985" s="3"/>
      <c r="C985" s="2"/>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2:27" ht="12.75" customHeight="1">
      <c r="B986" s="3"/>
      <c r="C986" s="2"/>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2:27" ht="12.75" customHeight="1">
      <c r="B987" s="3"/>
      <c r="C987" s="2"/>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2:27" ht="12.75" customHeight="1">
      <c r="B988" s="3"/>
      <c r="C988" s="2"/>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2:27" ht="12.75" customHeight="1">
      <c r="B989" s="3"/>
      <c r="C989" s="2"/>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2:27" ht="12.75" customHeight="1">
      <c r="B990" s="3"/>
      <c r="C990" s="2"/>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2:27" ht="12.75" customHeight="1">
      <c r="B991" s="3"/>
      <c r="C991" s="2"/>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2:27" ht="12.75" customHeight="1">
      <c r="B992" s="3"/>
      <c r="C992" s="2"/>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2:27" ht="12.75" customHeight="1">
      <c r="B993" s="3"/>
      <c r="C993" s="2"/>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2:27" ht="12.75" customHeight="1">
      <c r="B994" s="3"/>
      <c r="C994" s="2"/>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2:27" ht="12.75" customHeight="1">
      <c r="B995" s="3"/>
      <c r="C995" s="2"/>
      <c r="D995" s="3"/>
      <c r="E995" s="3"/>
      <c r="F995" s="3"/>
      <c r="G995" s="3"/>
      <c r="H995" s="3"/>
      <c r="I995" s="3"/>
      <c r="J995" s="3"/>
      <c r="K995" s="3"/>
      <c r="L995" s="3"/>
      <c r="M995" s="3"/>
      <c r="N995" s="3"/>
      <c r="O995" s="3"/>
      <c r="P995" s="3"/>
      <c r="Q995" s="3"/>
      <c r="R995" s="3"/>
      <c r="S995" s="3"/>
      <c r="T995" s="3"/>
      <c r="U995" s="3"/>
      <c r="V995" s="3"/>
      <c r="W995" s="3"/>
      <c r="X995" s="3"/>
      <c r="Y995" s="3"/>
      <c r="Z995" s="3"/>
      <c r="AA995" s="3"/>
    </row>
  </sheetData>
  <sheetProtection algorithmName="SHA-512" hashValue="VLoLPhKlQvmAvCh6O2N18hyTyDgBrwYoHmcuR4WxTylRvbN/VyCZGdUjDwymTuDfPt5es7TFUunHBoBNyU7WGw==" saltValue="EHXnnL/PeRnIYaWI5apQFw==" spinCount="100000" sheet="1" objects="1" scenarios="1"/>
  <mergeCells count="20">
    <mergeCell ref="A9:A11"/>
    <mergeCell ref="C93:H93"/>
    <mergeCell ref="H9:H11"/>
    <mergeCell ref="E106:H106"/>
    <mergeCell ref="G104:H104"/>
    <mergeCell ref="B104:F104"/>
    <mergeCell ref="I9:I11"/>
    <mergeCell ref="D1:H1"/>
    <mergeCell ref="D2:H2"/>
    <mergeCell ref="B5:H5"/>
    <mergeCell ref="B6:H6"/>
    <mergeCell ref="B7:H7"/>
    <mergeCell ref="B8:H8"/>
    <mergeCell ref="B9:B11"/>
    <mergeCell ref="C9:C11"/>
    <mergeCell ref="D9:D11"/>
    <mergeCell ref="E9:F9"/>
    <mergeCell ref="G9:G11"/>
    <mergeCell ref="E10:E11"/>
    <mergeCell ref="F10:F11"/>
  </mergeCells>
  <printOptions horizontalCentered="1"/>
  <pageMargins left="0" right="0" top="0.39370078740157483" bottom="0.23622047244094491" header="0" footer="0"/>
  <pageSetup paperSize="9"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Biểu số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oanhnt</dc:creator>
  <cp:lastModifiedBy>ADMIN</cp:lastModifiedBy>
  <dcterms:created xsi:type="dcterms:W3CDTF">2021-10-21T09:26:05Z</dcterms:created>
  <dcterms:modified xsi:type="dcterms:W3CDTF">2021-12-23T03:54:03Z</dcterms:modified>
  <cp:contentStatus/>
</cp:coreProperties>
</file>
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báo cáo 1\KHNV2024\"/>
    </mc:Choice>
  </mc:AlternateContent>
  <bookViews>
    <workbookView xWindow="0" yWindow="0" windowWidth="15345" windowHeight="670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63" i="1" l="1"/>
  <c r="O63" i="1"/>
  <c r="L63" i="1"/>
  <c r="R50" i="1"/>
  <c r="O50" i="1"/>
  <c r="L50" i="1"/>
  <c r="R35" i="1"/>
  <c r="U35" i="1" s="1"/>
  <c r="V35" i="1" s="1"/>
  <c r="O35" i="1"/>
  <c r="L35" i="1"/>
  <c r="R20" i="1"/>
  <c r="R19" i="1" s="1"/>
  <c r="O20" i="1"/>
  <c r="L20" i="1"/>
  <c r="V16" i="1"/>
  <c r="V17" i="1"/>
  <c r="V18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U16" i="1"/>
  <c r="U17" i="1"/>
  <c r="U18" i="1"/>
  <c r="U20" i="1"/>
  <c r="V20" i="1" s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V50" i="1" s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T16" i="1"/>
  <c r="T17" i="1"/>
  <c r="T18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S16" i="1"/>
  <c r="S17" i="1"/>
  <c r="S18" i="1"/>
  <c r="S20" i="1"/>
  <c r="T20" i="1" s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T35" i="1" s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T50" i="1" s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Q16" i="1"/>
  <c r="Q17" i="1"/>
  <c r="Q18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1" i="1"/>
  <c r="Q52" i="1"/>
  <c r="Q53" i="1"/>
  <c r="Q54" i="1"/>
  <c r="Q55" i="1"/>
  <c r="Q56" i="1"/>
  <c r="Q57" i="1"/>
  <c r="Q58" i="1"/>
  <c r="Q59" i="1"/>
  <c r="Q60" i="1"/>
  <c r="Q61" i="1"/>
  <c r="Q62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P16" i="1"/>
  <c r="P17" i="1"/>
  <c r="P18" i="1"/>
  <c r="P20" i="1"/>
  <c r="Q20" i="1" s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Q50" i="1" s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Q63" i="1" s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N16" i="1"/>
  <c r="N17" i="1"/>
  <c r="N18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M16" i="1"/>
  <c r="M17" i="1"/>
  <c r="M18" i="1"/>
  <c r="M20" i="1"/>
  <c r="N20" i="1" s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N35" i="1" s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V15" i="1"/>
  <c r="U15" i="1"/>
  <c r="R15" i="1"/>
  <c r="S15" i="1" s="1"/>
  <c r="T15" i="1" s="1"/>
  <c r="O15" i="1"/>
  <c r="P15" i="1" s="1"/>
  <c r="Q15" i="1" s="1"/>
  <c r="L15" i="1"/>
  <c r="M15" i="1" s="1"/>
  <c r="N15" i="1" s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I63" i="1"/>
  <c r="I50" i="1"/>
  <c r="I35" i="1"/>
  <c r="I20" i="1"/>
  <c r="I15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E63" i="1"/>
  <c r="F63" i="1"/>
  <c r="D63" i="1"/>
  <c r="E50" i="1"/>
  <c r="F50" i="1"/>
  <c r="F19" i="1" s="1"/>
  <c r="D50" i="1"/>
  <c r="F35" i="1"/>
  <c r="E35" i="1"/>
  <c r="D35" i="1"/>
  <c r="E20" i="1"/>
  <c r="E19" i="1" s="1"/>
  <c r="F20" i="1"/>
  <c r="D20" i="1"/>
  <c r="E15" i="1"/>
  <c r="F15" i="1"/>
  <c r="D15" i="1"/>
  <c r="O19" i="1" l="1"/>
  <c r="L19" i="1"/>
  <c r="P35" i="1"/>
  <c r="Q35" i="1" s="1"/>
  <c r="R12" i="1"/>
  <c r="S12" i="1" s="1"/>
  <c r="T12" i="1" s="1"/>
  <c r="U19" i="1"/>
  <c r="V19" i="1" s="1"/>
  <c r="O12" i="1"/>
  <c r="O13" i="1" s="1"/>
  <c r="S19" i="1"/>
  <c r="T19" i="1" s="1"/>
  <c r="L12" i="1"/>
  <c r="L13" i="1" s="1"/>
  <c r="L14" i="1" s="1"/>
  <c r="M14" i="1" s="1"/>
  <c r="N14" i="1" s="1"/>
  <c r="M19" i="1"/>
  <c r="N19" i="1" s="1"/>
  <c r="O14" i="1"/>
  <c r="P12" i="1"/>
  <c r="Q12" i="1" s="1"/>
  <c r="M12" i="1"/>
  <c r="N12" i="1" s="1"/>
  <c r="I19" i="1"/>
  <c r="I12" i="1" s="1"/>
  <c r="J12" i="1" s="1"/>
  <c r="K12" i="1" s="1"/>
  <c r="I13" i="1"/>
  <c r="I14" i="1" s="1"/>
  <c r="D19" i="1"/>
  <c r="P19" i="1" l="1"/>
  <c r="Q19" i="1" s="1"/>
  <c r="P13" i="1"/>
  <c r="Q13" i="1" s="1"/>
  <c r="M13" i="1"/>
  <c r="N13" i="1" s="1"/>
  <c r="P14" i="1"/>
  <c r="Q14" i="1" s="1"/>
  <c r="R13" i="1"/>
  <c r="U12" i="1"/>
  <c r="V12" i="1" s="1"/>
  <c r="U13" i="1" l="1"/>
  <c r="V13" i="1" s="1"/>
  <c r="R14" i="1"/>
  <c r="S13" i="1"/>
  <c r="T13" i="1" s="1"/>
  <c r="S14" i="1" l="1"/>
  <c r="T14" i="1" s="1"/>
  <c r="U14" i="1"/>
  <c r="V14" i="1" s="1"/>
  <c r="D12" i="1" l="1"/>
  <c r="D13" i="1" s="1"/>
  <c r="D14" i="1" s="1"/>
  <c r="E12" i="1"/>
  <c r="F12" i="1"/>
  <c r="F13" i="1" s="1"/>
  <c r="F14" i="1" s="1"/>
  <c r="G12" i="1" l="1"/>
  <c r="H12" i="1" s="1"/>
  <c r="E13" i="1"/>
  <c r="E14" i="1" s="1"/>
</calcChain>
</file>

<file path=xl/sharedStrings.xml><?xml version="1.0" encoding="utf-8"?>
<sst xmlns="http://schemas.openxmlformats.org/spreadsheetml/2006/main" count="269" uniqueCount="196">
  <si>
    <t>Biểu số: 02/NHCS-KH</t>
  </si>
  <si>
    <t>CỘNG HOÀ XÃ HỘI CHỦ NGHĨA VIỆT NAM</t>
  </si>
  <si>
    <r>
      <t>Độc l</t>
    </r>
    <r>
      <rPr>
        <b/>
        <u/>
        <sz val="12"/>
        <rFont val="Times New Roman"/>
        <family val="1"/>
      </rPr>
      <t xml:space="preserve">ập - Tự do - Hạnh </t>
    </r>
    <r>
      <rPr>
        <b/>
        <sz val="12"/>
        <rFont val="Times New Roman"/>
        <family val="1"/>
      </rPr>
      <t>phúc</t>
    </r>
  </si>
  <si>
    <t>KẾ HOẠCH TÍN DỤNG GIAI ĐOẠN 2026- 2030</t>
  </si>
  <si>
    <t>Đơn vị: triệu đồng, %, hộ, người</t>
  </si>
  <si>
    <t>STT</t>
  </si>
  <si>
    <t>CHỈ TIÊU</t>
  </si>
  <si>
    <t>Ước thực hiện đến 31/12/2024</t>
  </si>
  <si>
    <t>Ước thực hiện đến 31/12/2025</t>
  </si>
  <si>
    <t>Kế hoạch tín dụng năm 2026</t>
  </si>
  <si>
    <t>Kế hoạch tín dụng năm 2027</t>
  </si>
  <si>
    <t>Kế hoạch tín dụng năm 2028</t>
  </si>
  <si>
    <t>Kế hoạch tín dụng năm 2029</t>
  </si>
  <si>
    <t>Kế hoạch tín dụng năm 2030</t>
  </si>
  <si>
    <t>Tổng số</t>
  </si>
  <si>
    <t>Tăng, giảm so với 31/12/2025</t>
  </si>
  <si>
    <t>Tăng, giảm so với 31/12/2026</t>
  </si>
  <si>
    <t>Tăng, giảm so với 31/12/2027</t>
  </si>
  <si>
    <t>Tăng, giảm so với 31/12/2028</t>
  </si>
  <si>
    <t>Tăng, giảm so với 31/12/2029</t>
  </si>
  <si>
    <t>Số tuyệt đối (+/-)</t>
  </si>
  <si>
    <t>Số tương đối (%)</t>
  </si>
  <si>
    <t>…, ngày ….. tháng ….. Năm ……..</t>
  </si>
  <si>
    <t xml:space="preserve">                     GIÁM ĐỐC</t>
  </si>
  <si>
    <t>TRƯỞNG BĐD HĐQT - NHCSXH</t>
  </si>
  <si>
    <t xml:space="preserve">                 (Ký tên)</t>
  </si>
  <si>
    <t>(Ký tên, đóng dấu)</t>
  </si>
  <si>
    <t>NGÂN HÀNG CHÍNH SÁCH XÃ HỘI</t>
  </si>
  <si>
    <t>MÃ CHỈ TIÊU</t>
  </si>
  <si>
    <t>A</t>
  </si>
  <si>
    <t>XD0001</t>
  </si>
  <si>
    <t>NGUỒN VỐN</t>
  </si>
  <si>
    <t>I</t>
  </si>
  <si>
    <t>XD0002</t>
  </si>
  <si>
    <t>NGUỒN VỐN CÂN ĐỐI TỪ TRUNG ƯƠNG</t>
  </si>
  <si>
    <t>1</t>
  </si>
  <si>
    <t>XD0003</t>
  </si>
  <si>
    <t>Nguồn vốn cân đối chuyển từ Trung ương</t>
  </si>
  <si>
    <t>2</t>
  </si>
  <si>
    <t>XD0004</t>
  </si>
  <si>
    <t>Nguồn vốn huy động tại địa phương được TW cấp bù lãi suất</t>
  </si>
  <si>
    <t>a</t>
  </si>
  <si>
    <t>XD0005</t>
  </si>
  <si>
    <t>Tiền gửi của tổ chức, cá nhân</t>
  </si>
  <si>
    <t>b</t>
  </si>
  <si>
    <t>XD0006</t>
  </si>
  <si>
    <t>Tiền gửi của Tổ viên Tổ Tiết kiệm và vay vốn</t>
  </si>
  <si>
    <t>II</t>
  </si>
  <si>
    <t>XD0007</t>
  </si>
  <si>
    <t>NGUỒN VỐN NHẬN ỦY THÁC ĐẦU TƯ TẠI ĐỊA PHƯƠNG</t>
  </si>
  <si>
    <t>B</t>
  </si>
  <si>
    <t>XD0008</t>
  </si>
  <si>
    <t>SỬ DỤNG VỐN</t>
  </si>
  <si>
    <t>XD0009</t>
  </si>
  <si>
    <t>DƯ NỢ NGUỒN VỐN TRUNG ƯƠNG</t>
  </si>
  <si>
    <t>XD00010</t>
  </si>
  <si>
    <t>Cho vay hộ nghèo (theo NĐ 78/2002/NĐ-CP)</t>
  </si>
  <si>
    <t>XD00011</t>
  </si>
  <si>
    <t>Cho vay hộ cận nghèo (theo QĐ 15/2013/QĐ-TTg)</t>
  </si>
  <si>
    <t>3</t>
  </si>
  <si>
    <t>XD00012</t>
  </si>
  <si>
    <t>Cho vay hộ mới thoát nghèo (theo QĐ 28/2015/QĐ-TTg)</t>
  </si>
  <si>
    <t>4</t>
  </si>
  <si>
    <t>XD00013</t>
  </si>
  <si>
    <t>Cho vay học sinh, sinh viên có hoàn cảnh khó khăn (theo QĐ 157/2007/QĐ-TTg)</t>
  </si>
  <si>
    <t>5</t>
  </si>
  <si>
    <t>XD00014</t>
  </si>
  <si>
    <t>Cho vay hỗ trợ tạo việc làm, duy trì và mở rộng việc làm từ nguồn vốn Quỹ quốc gia về việc làm (theo NĐ số 61/2015/NĐ-CP; NĐ số 74/2019/NĐ-CP)</t>
  </si>
  <si>
    <t>6</t>
  </si>
  <si>
    <t>XD00015</t>
  </si>
  <si>
    <t>Cho vay hỗ trợ tạo việc làm, duy trì và mở rộng việc làm từ nguồn vốn NHCSXH huy động (theo NĐ số 61/2015/NĐ-CP; NĐ 74/2019/NĐ-CP)</t>
  </si>
  <si>
    <t>7</t>
  </si>
  <si>
    <t>XD00016</t>
  </si>
  <si>
    <t>Cho vay người lao động đi làm việc ở nước ngoài (theo QĐ 365/QĐ-NHNN, QĐ 1465/QĐ-TTg, QĐ 63/2015/QĐ-TTg và NĐ 61/2015/NĐ-CP)</t>
  </si>
  <si>
    <t>8</t>
  </si>
  <si>
    <t>XD00017</t>
  </si>
  <si>
    <t>Cho vay Chương trình NS&amp;VSMT NT (theo QĐ 62/2004/QĐ-TTg)</t>
  </si>
  <si>
    <t>9</t>
  </si>
  <si>
    <t>XD00018</t>
  </si>
  <si>
    <t>Cho vay hộ gia đình SXKD tại VKK (theo QĐ 31/2007/QĐ-TTg)</t>
  </si>
  <si>
    <t>10</t>
  </si>
  <si>
    <t>XD00019</t>
  </si>
  <si>
    <t>Cho vay thương nhân tại VKK (theo QĐ 92/2009/QĐ-TTg)</t>
  </si>
  <si>
    <t>11</t>
  </si>
  <si>
    <t>XD00020</t>
  </si>
  <si>
    <t>Cho vay nhà ở vùng thường xuyên ngập lũ ĐBSCL</t>
  </si>
  <si>
    <t>12</t>
  </si>
  <si>
    <t>XD00021</t>
  </si>
  <si>
    <t>Cho vay người chấp hành xong án phạt tù (theo QĐ 22/2023/QĐ-TTg)</t>
  </si>
  <si>
    <t>13</t>
  </si>
  <si>
    <t>XD00022</t>
  </si>
  <si>
    <t>Cho vay nhà ở xã hội (theo NĐ 100/2015/NĐ-CP)</t>
  </si>
  <si>
    <t xml:space="preserve"> </t>
  </si>
  <si>
    <t>XD00023</t>
  </si>
  <si>
    <t>- Mua, thuê mua nhà ở xã hội</t>
  </si>
  <si>
    <t>XD00024</t>
  </si>
  <si>
    <t>- Xây mới, cải tạo, sứa chữa nhà để ở</t>
  </si>
  <si>
    <t>14</t>
  </si>
  <si>
    <t>XD00025</t>
  </si>
  <si>
    <t>Cho vay phát triển kinh tế - xã hội vùng đồng bào DTTS và miền núi (theo NĐ số 28/2022/NĐ-CP)</t>
  </si>
  <si>
    <t>15</t>
  </si>
  <si>
    <t>XD00026</t>
  </si>
  <si>
    <t>Cho vay người sử dụng lao động để trả lương ngừng việc, trả lương phục hồi sản xuất (theo QĐ 23/2021/QĐ-TTg)</t>
  </si>
  <si>
    <t>16</t>
  </si>
  <si>
    <t>XD00027</t>
  </si>
  <si>
    <t>Cho vay đối với học sinh, sinh viên có hoàn cảnh gia đình khó khăn để mua máy tính, thiết bị học tập trực tuyến (theo QĐ 09/2022/QĐ-TTg)</t>
  </si>
  <si>
    <t>17</t>
  </si>
  <si>
    <t>XD00028</t>
  </si>
  <si>
    <t>Cho vay đối với các cơ sở giáo dục mầm non, tiểu học ngoài công lập (theo QĐ 11/2022/QĐ-TTg)</t>
  </si>
  <si>
    <t>18</t>
  </si>
  <si>
    <t>XD00029</t>
  </si>
  <si>
    <t>Cho vay hộ đồng bào dân tộc thiểu số (theo QĐ 32/2007/QĐ-TTg, QĐ 54/2012/QĐ-TTg, QĐ 74/2008/QĐ-TTg, QĐ 29/2013/QĐ-TTg, QĐ 1592/QĐ-TTg, QĐ 755/QĐ-TTg, QĐ 2085/QĐ-TTg)</t>
  </si>
  <si>
    <t>19</t>
  </si>
  <si>
    <t>XD00030</t>
  </si>
  <si>
    <t>Cho vay trồng rừng sản xuất, phát triển chăn nuôi (theo NĐ 75/2015/NĐ-CP)</t>
  </si>
  <si>
    <t>20</t>
  </si>
  <si>
    <t>XD00031</t>
  </si>
  <si>
    <t>Cho vay hỗ trợ hộ nghèo về nhà ở (theo QĐ 167/2008/QĐ-TTg, QĐ 33/2015/QĐ-TTg, QĐ 716/QĐ-TTg, QĐ 48/2014/QĐ-TTg)</t>
  </si>
  <si>
    <t>21</t>
  </si>
  <si>
    <t>XD00032</t>
  </si>
  <si>
    <t>Cho vay một số dự án vốn nước ngoài</t>
  </si>
  <si>
    <t>XD00033</t>
  </si>
  <si>
    <t>- Cho vay dự án IFAD</t>
  </si>
  <si>
    <t>XD00034</t>
  </si>
  <si>
    <t>- Cho vay dự án KFW (Phát triển DN vừa và nhỏ)</t>
  </si>
  <si>
    <t>XD00035</t>
  </si>
  <si>
    <t>- Cho vay dự án FSDP (Phát triển ngành Lâm nghiệp)</t>
  </si>
  <si>
    <t>XD00036</t>
  </si>
  <si>
    <t>- Cho vay dự án NIPPON (Mở rộng tài chính cho người khuyết tật)</t>
  </si>
  <si>
    <t>XD00037</t>
  </si>
  <si>
    <t>- Cho vay dự án khác (RIDP, CWPD, HIV/AIDS, khác)</t>
  </si>
  <si>
    <t>22</t>
  </si>
  <si>
    <t>XD00038</t>
  </si>
  <si>
    <t>Cho vay các chương trình khác</t>
  </si>
  <si>
    <t>XD00039</t>
  </si>
  <si>
    <t>DƯ NỢ NGUỒN VỐN ĐỊA PHƯƠNG</t>
  </si>
  <si>
    <t>XD00040</t>
  </si>
  <si>
    <t>XD00041</t>
  </si>
  <si>
    <t>XD00042</t>
  </si>
  <si>
    <t>XD00043</t>
  </si>
  <si>
    <t>XD00044</t>
  </si>
  <si>
    <t>Cho vay hỗ trợ tạo việc làm, duy trì và mở rộng việc làm (theo NĐ số 61/2015/NĐ-CP; NĐ 74/2019/NĐ-CP)</t>
  </si>
  <si>
    <t>XD00045</t>
  </si>
  <si>
    <t>XD00046</t>
  </si>
  <si>
    <t>XD00047</t>
  </si>
  <si>
    <t>XD00048</t>
  </si>
  <si>
    <t>XD00049</t>
  </si>
  <si>
    <t>XD00050</t>
  </si>
  <si>
    <t>XD00051</t>
  </si>
  <si>
    <t>XD00052</t>
  </si>
  <si>
    <t>XD00053</t>
  </si>
  <si>
    <t>XD00054</t>
  </si>
  <si>
    <t>III</t>
  </si>
  <si>
    <t>XD00055</t>
  </si>
  <si>
    <t>QŨY AN TOÀN CHI TRẢ</t>
  </si>
  <si>
    <t>C</t>
  </si>
  <si>
    <t>XD00056</t>
  </si>
  <si>
    <t>THUYẾT MINH MỘT SỐ CHỈ TIÊU (Dự kiến năm kế hoạch)</t>
  </si>
  <si>
    <t>XD00057</t>
  </si>
  <si>
    <t>Số hộ dân cư trú trên địa bàn</t>
  </si>
  <si>
    <t>XD00058</t>
  </si>
  <si>
    <t>Số hộ dân là hộ đồng bào dân tộc thiểu số</t>
  </si>
  <si>
    <t>XD00059</t>
  </si>
  <si>
    <t>Số hộ là DTTS đủ điều kiện vay vốn nhưng chưa được vay vốn NHCSXH</t>
  </si>
  <si>
    <t>XD00060</t>
  </si>
  <si>
    <t>Số hộ nghèo theo chuẩn hộ nghèo</t>
  </si>
  <si>
    <t>XD00061</t>
  </si>
  <si>
    <t>Số hộ nghèo đủ điều kiện vay vốn nhưng chưa được vay vốn NHCSXH</t>
  </si>
  <si>
    <t>XD00062</t>
  </si>
  <si>
    <t>Số hộ cận nghèo theo chuẩn hộ cận nghèo</t>
  </si>
  <si>
    <t>XD00063</t>
  </si>
  <si>
    <t>Số hộ cận nghèo đủ điều kiện vay vốn nhưng chưa được vay vốn NHCSXH</t>
  </si>
  <si>
    <t>XD00064</t>
  </si>
  <si>
    <t>Số hộ mới thoát nghèo</t>
  </si>
  <si>
    <t>XD00065</t>
  </si>
  <si>
    <t>Số hộ mới thoát nghèo đủ điều kiện vay vốn nhưng chưa được vay vốn NHCSXH</t>
  </si>
  <si>
    <t>XD00066</t>
  </si>
  <si>
    <t>Số hộ gia đình sản xuất kinh doanh vùng khó khăn trên địa bàn có nhu cầu vay vốn</t>
  </si>
  <si>
    <t>XD00067</t>
  </si>
  <si>
    <t>Số thương nhân hoạt động thương mại tại vùng khó khăn có nhu cầu vay vốn</t>
  </si>
  <si>
    <t>XD00068</t>
  </si>
  <si>
    <t>Tổng số HSSV có hoàn cảnh khó khăn có nhu cầu vay vốn</t>
  </si>
  <si>
    <t>XD00069</t>
  </si>
  <si>
    <t>Số lao động có nhu cầu vay vốn giải quyết việc làm</t>
  </si>
  <si>
    <t>XD00070</t>
  </si>
  <si>
    <t>Số lao động có nhu cầu vay vốn đi lao động có thời hạn ở nước ngoài</t>
  </si>
  <si>
    <t>XD00071</t>
  </si>
  <si>
    <t>Số công trình NS&amp;VSMT NT dự kiến được xây dựng từ nguồn vốn vay NHCSXH</t>
  </si>
  <si>
    <t>XD00072</t>
  </si>
  <si>
    <t>Số căn nhà ở xã hội dự kiến được mua/thuê mua, xây dựng/sửa chữa từ nguồn vốn vay NHCSXH</t>
  </si>
  <si>
    <t>XD00073</t>
  </si>
  <si>
    <t>Tổng số xã trên địa bàn</t>
  </si>
  <si>
    <t>XD00074</t>
  </si>
  <si>
    <t>Số xã thuộc vùng khó khăn</t>
  </si>
  <si>
    <t>XD00075</t>
  </si>
  <si>
    <t>Dự kiến nhu cầu vay vốn của hộ gia đình, cá nhân xây dựng nhà ở xã hội để cho thuê, cho thuê mua, bán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</si>
</sst>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;\-#,##0;;@"/>
  </numFmts>
  <fonts count="16">
    <font>
      <sz val="11"/>
      <color theme="1"/>
      <name val="Calibri"/>
      <family val="2"/>
      <scheme val="minor"/>
    </font>
    <font>
      <sz val="12"/>
      <name val="Times New Roman"/>
      <family val="1"/>
    </font>
    <font>
      <sz val="10"/>
      <name val="Times New Roman"/>
      <family val="1"/>
    </font>
    <font>
      <b/>
      <sz val="11"/>
      <name val="Times New Roman"/>
      <family val="1"/>
    </font>
    <font>
      <b/>
      <sz val="12"/>
      <name val="Times New Roman"/>
      <family val="1"/>
    </font>
    <font>
      <b/>
      <u/>
      <sz val="12"/>
      <name val="Times New Roman"/>
      <family val="1"/>
    </font>
    <font>
      <b/>
      <sz val="14"/>
      <name val="Times New Roman"/>
      <family val="1"/>
    </font>
    <font>
      <i/>
      <sz val="12"/>
      <name val="Times New Roman"/>
      <family val="1"/>
    </font>
    <font>
      <i/>
      <sz val="10"/>
      <name val="Times New Roman"/>
      <family val="1"/>
    </font>
    <font>
      <sz val="11"/>
      <name val="Times New Roman"/>
      <family val="1"/>
    </font>
    <font>
      <sz val="12"/>
      <name val=".VnTime"/>
      <family val="2"/>
    </font>
    <font>
      <i/>
      <sz val="11"/>
      <name val="Times New Roman"/>
      <family val="1"/>
    </font>
    <font>
      <sz val="10"/>
      <name val="Arial"/>
      <family val="2"/>
      <charset val="163"/>
    </font>
    <font>
      <b/>
      <sz val="12"/>
      <name val="Times New Roman"/>
      <family val="1"/>
    </font>
    <font>
      <sz val="12"/>
      <name val="Times New Roman"/>
      <family val="1"/>
    </font>
    <font>
      <i/>
      <sz val="12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</borders>
  <cellStyleXfs count="3">
    <xf numFmtId="0" fontId="0" fillId="0" borderId="0"/>
    <xf numFmtId="0" fontId="10" fillId="0" borderId="0"/>
    <xf numFmtId="0" fontId="12" fillId="0" borderId="0"/>
  </cellStyleXfs>
  <cellXfs count="57">
    <xf numFmtId="0" fontId="0" fillId="0" borderId="0" xfId="0"/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/>
    <xf numFmtId="0" fontId="4" fillId="0" borderId="0" xfId="0" applyFont="1" applyFill="1" applyAlignment="1">
      <alignment horizontal="left" vertical="center"/>
    </xf>
    <xf numFmtId="0" fontId="6" fillId="0" borderId="0" xfId="0" applyFont="1" applyFill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9" fillId="0" borderId="0" xfId="0" applyFont="1" applyFill="1" applyAlignment="1">
      <alignment vertical="center"/>
    </xf>
    <xf numFmtId="0" fontId="11" fillId="0" borderId="0" xfId="0" applyFont="1" applyFill="1" applyAlignment="1">
      <alignment vertical="center"/>
    </xf>
    <xf numFmtId="0" fontId="8" fillId="0" borderId="0" xfId="0" applyFont="1" applyFill="1" applyAlignment="1">
      <alignment vertical="center"/>
    </xf>
    <xf numFmtId="0" fontId="7" fillId="0" borderId="0" xfId="0" applyFont="1" applyFill="1" applyAlignment="1">
      <alignment horizontal="right" vertical="center"/>
    </xf>
    <xf numFmtId="0" fontId="4" fillId="0" borderId="0" xfId="0" applyFont="1" applyFill="1" applyAlignment="1">
      <alignment vertical="center"/>
    </xf>
    <xf numFmtId="0" fontId="7" fillId="0" borderId="0" xfId="0" applyFont="1" applyFill="1" applyAlignment="1">
      <alignment vertical="center"/>
    </xf>
    <xf numFmtId="0" fontId="3" fillId="0" borderId="0" xfId="0" applyFont="1" applyFill="1" applyAlignment="1"/>
    <xf numFmtId="0" fontId="4" fillId="0" borderId="0" xfId="0" applyFont="1" applyFill="1" applyAlignment="1"/>
    <xf numFmtId="164" fontId="1" fillId="0" borderId="9" xfId="1" applyNumberFormat="1" applyFont="1" applyFill="1" applyBorder="1" applyAlignment="1">
      <alignment horizontal="right" vertical="top" wrapText="1"/>
    </xf>
    <xf numFmtId="164" fontId="1" fillId="0" borderId="9" xfId="0" applyNumberFormat="1" applyFont="1" applyFill="1" applyBorder="1" applyAlignment="1">
      <alignment vertical="top" wrapText="1"/>
    </xf>
    <xf numFmtId="164" fontId="1" fillId="0" borderId="9" xfId="0" applyNumberFormat="1" applyFont="1" applyFill="1" applyBorder="1" applyAlignment="1">
      <alignment vertical="top"/>
    </xf>
    <xf numFmtId="164" fontId="1" fillId="0" borderId="10" xfId="0" applyNumberFormat="1" applyFont="1" applyFill="1" applyBorder="1" applyAlignment="1">
      <alignment vertical="top" wrapText="1"/>
    </xf>
    <xf numFmtId="164" fontId="1" fillId="3" borderId="8" xfId="0" quotePrefix="1" applyNumberFormat="1" applyFont="1" applyFill="1" applyBorder="1" applyAlignment="1">
      <alignment vertical="top" wrapText="1"/>
    </xf>
    <xf numFmtId="164" fontId="1" fillId="3" borderId="9" xfId="1" applyNumberFormat="1" applyFont="1" applyFill="1" applyBorder="1" applyAlignment="1">
      <alignment horizontal="right" vertical="top" wrapText="1"/>
    </xf>
    <xf numFmtId="164" fontId="1" fillId="0" borderId="9" xfId="0" quotePrefix="1" applyNumberFormat="1" applyFont="1" applyFill="1" applyBorder="1" applyAlignment="1">
      <alignment vertical="top" wrapText="1"/>
    </xf>
    <xf numFmtId="164" fontId="1" fillId="0" borderId="13" xfId="1" applyNumberFormat="1" applyFont="1" applyFill="1" applyBorder="1" applyAlignment="1">
      <alignment horizontal="right" vertical="top" wrapText="1"/>
    </xf>
    <xf numFmtId="164" fontId="1" fillId="0" borderId="6" xfId="0" quotePrefix="1" applyNumberFormat="1" applyFont="1" applyFill="1" applyBorder="1" applyAlignment="1">
      <alignment vertical="top" wrapText="1"/>
    </xf>
    <xf numFmtId="0" fontId="1" fillId="0" borderId="12" xfId="0" applyFont="1" applyFill="1" applyBorder="1" applyAlignment="1">
      <alignment vertical="center"/>
    </xf>
    <xf numFmtId="0" fontId="2" fillId="0" borderId="12" xfId="0" applyFont="1" applyFill="1" applyBorder="1" applyAlignment="1">
      <alignment vertical="center"/>
    </xf>
    <xf numFmtId="164" fontId="1" fillId="3" borderId="5" xfId="0" quotePrefix="1" applyNumberFormat="1" applyFont="1" applyFill="1" applyBorder="1" applyAlignment="1">
      <alignment vertical="top" wrapText="1"/>
    </xf>
    <xf numFmtId="164" fontId="1" fillId="3" borderId="9" xfId="0" quotePrefix="1" applyNumberFormat="1" applyFont="1" applyFill="1" applyBorder="1" applyAlignment="1">
      <alignment vertical="top" wrapText="1"/>
    </xf>
    <xf numFmtId="164" fontId="1" fillId="4" borderId="9" xfId="0" quotePrefix="1" applyNumberFormat="1" applyFont="1" applyFill="1" applyBorder="1" applyAlignment="1">
      <alignment vertical="top" wrapText="1"/>
    </xf>
    <xf numFmtId="164" fontId="1" fillId="4" borderId="13" xfId="0" quotePrefix="1" applyNumberFormat="1" applyFont="1" applyFill="1" applyBorder="1" applyAlignment="1">
      <alignment vertical="top" wrapText="1"/>
    </xf>
    <xf numFmtId="164" fontId="1" fillId="4" borderId="9" xfId="0" applyNumberFormat="1" applyFont="1" applyFill="1" applyBorder="1" applyAlignment="1">
      <alignment vertical="top" wrapText="1"/>
    </xf>
    <xf numFmtId="164" fontId="1" fillId="4" borderId="9" xfId="0" applyNumberFormat="1" applyFont="1" applyFill="1" applyBorder="1" applyAlignment="1">
      <alignment vertical="top"/>
    </xf>
    <xf numFmtId="164" fontId="1" fillId="4" borderId="10" xfId="0" applyNumberFormat="1" applyFont="1" applyFill="1" applyBorder="1" applyAlignment="1">
      <alignment vertical="top" wrapText="1"/>
    </xf>
    <xf numFmtId="164" fontId="1" fillId="4" borderId="13" xfId="0" applyNumberFormat="1" applyFont="1" applyFill="1" applyBorder="1" applyAlignment="1">
      <alignment vertical="top" wrapText="1"/>
    </xf>
    <xf numFmtId="164" fontId="13" fillId="2" borderId="9" xfId="0" applyNumberFormat="1" applyFont="1" applyFill="1" applyBorder="1" applyAlignment="1">
      <alignment horizontal="center" vertical="center" wrapText="1"/>
    </xf>
    <xf numFmtId="164" fontId="14" fillId="2" borderId="9" xfId="0" applyNumberFormat="1" applyFont="1" applyFill="1" applyBorder="1" applyAlignment="1">
      <alignment horizontal="center" vertical="center" wrapText="1"/>
    </xf>
    <xf numFmtId="164" fontId="15" fillId="2" borderId="9" xfId="0" applyNumberFormat="1" applyFont="1" applyFill="1" applyBorder="1" applyAlignment="1">
      <alignment horizontal="center" vertical="center" wrapText="1"/>
    </xf>
    <xf numFmtId="164" fontId="14" fillId="2" borderId="13" xfId="0" applyNumberFormat="1" applyFont="1" applyFill="1" applyBorder="1" applyAlignment="1">
      <alignment horizontal="center" vertical="center" wrapText="1"/>
    </xf>
    <xf numFmtId="164" fontId="13" fillId="2" borderId="9" xfId="0" applyNumberFormat="1" applyFont="1" applyFill="1" applyBorder="1" applyAlignment="1">
      <alignment horizontal="left" vertical="center" wrapText="1"/>
    </xf>
    <xf numFmtId="164" fontId="14" fillId="2" borderId="9" xfId="0" applyNumberFormat="1" applyFont="1" applyFill="1" applyBorder="1" applyAlignment="1">
      <alignment horizontal="left" vertical="center" wrapText="1"/>
    </xf>
    <xf numFmtId="164" fontId="15" fillId="2" borderId="9" xfId="0" applyNumberFormat="1" applyFont="1" applyFill="1" applyBorder="1" applyAlignment="1">
      <alignment horizontal="left" vertical="center" wrapText="1"/>
    </xf>
    <xf numFmtId="164" fontId="14" fillId="2" borderId="13" xfId="0" applyNumberFormat="1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right" vertical="center"/>
    </xf>
    <xf numFmtId="0" fontId="6" fillId="0" borderId="0" xfId="0" applyFont="1" applyFill="1" applyAlignment="1">
      <alignment horizontal="center" vertical="center" wrapText="1"/>
    </xf>
    <xf numFmtId="0" fontId="7" fillId="0" borderId="11" xfId="0" applyFont="1" applyFill="1" applyBorder="1" applyAlignment="1">
      <alignment horizontal="right" vertical="center"/>
    </xf>
    <xf numFmtId="0" fontId="3" fillId="0" borderId="0" xfId="0" applyFont="1" applyFill="1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 applyAlignment="1">
      <alignment horizontal="center" vertical="center"/>
    </xf>
    <xf numFmtId="0" fontId="4" fillId="0" borderId="2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7" fillId="0" borderId="0" xfId="0" applyFont="1" applyFill="1" applyAlignment="1">
      <alignment horizontal="center" vertical="center"/>
    </xf>
  </cellXfs>
  <cellStyles count="3">
    <cellStyle name="Normal" xfId="0" builtinId="0"/>
    <cellStyle name="Normal 5" xfId="2"/>
    <cellStyle name="Normal_1a. Mau bieu Ke hoach hoa  949 ngay 08-6-200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91"/>
  <sheetViews>
    <sheetView tabSelected="1" zoomScale="80" zoomScaleNormal="80" workbookViewId="0">
      <selection activeCell="G16" sqref="G16"/>
    </sheetView>
  </sheetViews>
  <sheetFormatPr defaultRowHeight="15.75"/>
  <cols>
    <col min="1" max="1" width="6.42578125" style="1" customWidth="1"/>
    <col min="2" max="2" width="10.85546875" style="1" customWidth="1"/>
    <col min="3" max="3" width="77.5703125" style="1" customWidth="1"/>
    <col min="4" max="5" width="12.28515625" style="1" customWidth="1"/>
    <col min="6" max="6" width="10.5703125" style="1" customWidth="1"/>
    <col min="7" max="7" width="11.140625" style="1" customWidth="1"/>
    <col min="8" max="8" width="7" style="2" customWidth="1"/>
    <col min="9" max="9" width="11" style="2" customWidth="1"/>
    <col min="10" max="10" width="11.28515625" style="2" customWidth="1"/>
    <col min="11" max="11" width="7" style="2" customWidth="1"/>
    <col min="12" max="12" width="11.28515625" style="2" customWidth="1"/>
    <col min="13" max="13" width="11.85546875" style="2" customWidth="1"/>
    <col min="14" max="14" width="7" style="2" customWidth="1"/>
    <col min="15" max="15" width="10.28515625" style="2" customWidth="1"/>
    <col min="16" max="16" width="11.7109375" style="2" customWidth="1"/>
    <col min="17" max="17" width="7" style="2" customWidth="1"/>
    <col min="18" max="18" width="11.42578125" style="2" customWidth="1"/>
    <col min="19" max="19" width="10.5703125" style="2" customWidth="1"/>
    <col min="20" max="20" width="7.140625" style="2" customWidth="1"/>
    <col min="21" max="21" width="10.85546875" style="2" customWidth="1"/>
    <col min="22" max="22" width="7" style="2" customWidth="1"/>
    <col min="23" max="16384" width="9.140625" style="2"/>
  </cols>
  <sheetData>
    <row r="1" spans="1:22">
      <c r="I1" s="3"/>
      <c r="J1" s="3"/>
      <c r="K1" s="46" t="s">
        <v>0</v>
      </c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</row>
    <row r="2" spans="1:22">
      <c r="A2" s="4"/>
      <c r="B2" s="51" t="s">
        <v>27</v>
      </c>
      <c r="C2" s="51"/>
      <c r="D2" s="4"/>
      <c r="E2" s="13"/>
      <c r="F2" s="13"/>
      <c r="G2" s="13"/>
      <c r="H2" s="13"/>
      <c r="I2" s="13"/>
      <c r="J2" s="49" t="s">
        <v>1</v>
      </c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</row>
    <row r="3" spans="1:22">
      <c r="A3" s="4"/>
      <c r="B3" s="51"/>
      <c r="C3" s="51"/>
      <c r="D3" s="4"/>
      <c r="E3" s="14"/>
      <c r="F3" s="14"/>
      <c r="G3" s="14"/>
      <c r="H3" s="14"/>
      <c r="I3" s="14"/>
      <c r="J3" s="50" t="s">
        <v>2</v>
      </c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</row>
    <row r="4" spans="1:22">
      <c r="C4" s="4"/>
      <c r="D4" s="4"/>
    </row>
    <row r="5" spans="1:22" ht="21.95" customHeight="1">
      <c r="A5" s="47" t="s">
        <v>3</v>
      </c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5"/>
    </row>
    <row r="6" spans="1:22" ht="23.25" customHeight="1">
      <c r="K6" s="48" t="s">
        <v>4</v>
      </c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</row>
    <row r="7" spans="1:22" ht="33.75" customHeight="1">
      <c r="A7" s="42" t="s">
        <v>5</v>
      </c>
      <c r="B7" s="43" t="s">
        <v>28</v>
      </c>
      <c r="C7" s="42" t="s">
        <v>6</v>
      </c>
      <c r="D7" s="42" t="s">
        <v>7</v>
      </c>
      <c r="E7" s="42" t="s">
        <v>8</v>
      </c>
      <c r="F7" s="42" t="s">
        <v>9</v>
      </c>
      <c r="G7" s="42"/>
      <c r="H7" s="42"/>
      <c r="I7" s="42" t="s">
        <v>10</v>
      </c>
      <c r="J7" s="42"/>
      <c r="K7" s="42"/>
      <c r="L7" s="42" t="s">
        <v>11</v>
      </c>
      <c r="M7" s="42"/>
      <c r="N7" s="42"/>
      <c r="O7" s="42" t="s">
        <v>12</v>
      </c>
      <c r="P7" s="42"/>
      <c r="Q7" s="42"/>
      <c r="R7" s="52" t="s">
        <v>13</v>
      </c>
      <c r="S7" s="53"/>
      <c r="T7" s="53"/>
      <c r="U7" s="53"/>
      <c r="V7" s="54"/>
    </row>
    <row r="8" spans="1:22" ht="32.25" customHeight="1">
      <c r="A8" s="42"/>
      <c r="B8" s="44"/>
      <c r="C8" s="42"/>
      <c r="D8" s="42"/>
      <c r="E8" s="42"/>
      <c r="F8" s="43" t="s">
        <v>14</v>
      </c>
      <c r="G8" s="52" t="s">
        <v>15</v>
      </c>
      <c r="H8" s="54"/>
      <c r="I8" s="43" t="s">
        <v>14</v>
      </c>
      <c r="J8" s="52" t="s">
        <v>16</v>
      </c>
      <c r="K8" s="54"/>
      <c r="L8" s="43" t="s">
        <v>14</v>
      </c>
      <c r="M8" s="52" t="s">
        <v>17</v>
      </c>
      <c r="N8" s="54"/>
      <c r="O8" s="43" t="s">
        <v>14</v>
      </c>
      <c r="P8" s="52" t="s">
        <v>18</v>
      </c>
      <c r="Q8" s="54"/>
      <c r="R8" s="43" t="s">
        <v>14</v>
      </c>
      <c r="S8" s="52" t="s">
        <v>19</v>
      </c>
      <c r="T8" s="54"/>
      <c r="U8" s="52" t="s">
        <v>15</v>
      </c>
      <c r="V8" s="54"/>
    </row>
    <row r="9" spans="1:22" ht="17.25" customHeight="1">
      <c r="A9" s="42"/>
      <c r="B9" s="44"/>
      <c r="C9" s="42"/>
      <c r="D9" s="42"/>
      <c r="E9" s="42"/>
      <c r="F9" s="44"/>
      <c r="G9" s="55" t="s">
        <v>20</v>
      </c>
      <c r="H9" s="55" t="s">
        <v>21</v>
      </c>
      <c r="I9" s="44"/>
      <c r="J9" s="55" t="s">
        <v>20</v>
      </c>
      <c r="K9" s="55" t="s">
        <v>21</v>
      </c>
      <c r="L9" s="44"/>
      <c r="M9" s="55" t="s">
        <v>20</v>
      </c>
      <c r="N9" s="55" t="s">
        <v>21</v>
      </c>
      <c r="O9" s="44"/>
      <c r="P9" s="55" t="s">
        <v>20</v>
      </c>
      <c r="Q9" s="55" t="s">
        <v>21</v>
      </c>
      <c r="R9" s="44"/>
      <c r="S9" s="55" t="s">
        <v>20</v>
      </c>
      <c r="T9" s="55" t="s">
        <v>21</v>
      </c>
      <c r="U9" s="55" t="s">
        <v>20</v>
      </c>
      <c r="V9" s="55" t="s">
        <v>21</v>
      </c>
    </row>
    <row r="10" spans="1:22" ht="60" customHeight="1">
      <c r="A10" s="42"/>
      <c r="B10" s="45"/>
      <c r="C10" s="42"/>
      <c r="D10" s="42"/>
      <c r="E10" s="42"/>
      <c r="F10" s="45"/>
      <c r="G10" s="55"/>
      <c r="H10" s="55"/>
      <c r="I10" s="45"/>
      <c r="J10" s="55"/>
      <c r="K10" s="55"/>
      <c r="L10" s="45"/>
      <c r="M10" s="55"/>
      <c r="N10" s="55"/>
      <c r="O10" s="45"/>
      <c r="P10" s="55"/>
      <c r="Q10" s="55"/>
      <c r="R10" s="45"/>
      <c r="S10" s="55"/>
      <c r="T10" s="55"/>
      <c r="U10" s="55"/>
      <c r="V10" s="55"/>
    </row>
    <row r="11" spans="1:22" ht="15" customHeight="1">
      <c r="A11" s="6">
        <v>1</v>
      </c>
      <c r="B11" s="6">
        <v>2</v>
      </c>
      <c r="C11" s="6">
        <v>3</v>
      </c>
      <c r="D11" s="6">
        <v>4</v>
      </c>
      <c r="E11" s="6">
        <v>5</v>
      </c>
      <c r="F11" s="6">
        <v>6</v>
      </c>
      <c r="G11" s="6">
        <v>7</v>
      </c>
      <c r="H11" s="6">
        <v>8</v>
      </c>
      <c r="I11" s="6">
        <v>9</v>
      </c>
      <c r="J11" s="6">
        <v>10</v>
      </c>
      <c r="K11" s="6">
        <v>11</v>
      </c>
      <c r="L11" s="6">
        <v>12</v>
      </c>
      <c r="M11" s="6">
        <v>13</v>
      </c>
      <c r="N11" s="6">
        <v>14</v>
      </c>
      <c r="O11" s="6">
        <v>15</v>
      </c>
      <c r="P11" s="6">
        <v>16</v>
      </c>
      <c r="Q11" s="6">
        <v>17</v>
      </c>
      <c r="R11" s="6">
        <v>18</v>
      </c>
      <c r="S11" s="6">
        <v>19</v>
      </c>
      <c r="T11" s="6">
        <v>20</v>
      </c>
      <c r="U11" s="6">
        <v>21</v>
      </c>
      <c r="V11" s="6">
        <v>22</v>
      </c>
    </row>
    <row r="12" spans="1:22">
      <c r="A12" s="34" t="s">
        <v>29</v>
      </c>
      <c r="B12" s="35" t="s">
        <v>30</v>
      </c>
      <c r="C12" s="38" t="s">
        <v>31</v>
      </c>
      <c r="D12" s="19">
        <f>D19</f>
        <v>0</v>
      </c>
      <c r="E12" s="19">
        <f>E19</f>
        <v>0</v>
      </c>
      <c r="F12" s="19">
        <f>F19</f>
        <v>0</v>
      </c>
      <c r="G12" s="26" t="str">
        <f>IF(OR(E12&lt;&gt;0,F12&lt;&gt;0),F12-E12,"")</f>
        <v/>
      </c>
      <c r="H12" s="26" t="str">
        <f>IF(OR(ISBLANK(G12), G12="",AND(E12=0,G12=0)), "", IF(AND(E12=0, G12&gt;0), 100, IF(AND(E12&gt;0, G12=0), 0, ROUND((G12/E12)*100, 3))))</f>
        <v/>
      </c>
      <c r="I12" s="19">
        <f>I19</f>
        <v>0</v>
      </c>
      <c r="J12" s="26" t="str">
        <f>IF(OR(F12&lt;&gt;0,I12&lt;&gt;0),I12-F12,"")</f>
        <v/>
      </c>
      <c r="K12" s="26" t="str">
        <f>IF(OR(ISBLANK(J12), J12="",AND(F12=0,J12=0)), "", IF(AND(F12=0, J12&gt;0), 100, IF(AND(F12&gt;0, J12=0), 0, ROUND((J12/F12)*100, 3))))</f>
        <v/>
      </c>
      <c r="L12" s="19">
        <f>L19</f>
        <v>0</v>
      </c>
      <c r="M12" s="26" t="str">
        <f>IF(OR(I12&lt;&gt;0,L12&lt;&gt;0),L12-I12,"")</f>
        <v/>
      </c>
      <c r="N12" s="26" t="str">
        <f>IF(OR(ISBLANK(M12), M12="",AND(I12=0,M12=0)), "", IF(AND(I12=0, M12&gt;0), 100, IF(AND(I12&gt;0, M12=0), 0, ROUND((M12/I12)*100, 3))))</f>
        <v/>
      </c>
      <c r="O12" s="19">
        <f>O19</f>
        <v>0</v>
      </c>
      <c r="P12" s="26" t="str">
        <f>IF(OR(L12&lt;&gt;0,O12&lt;&gt;0),O12-L12,"")</f>
        <v/>
      </c>
      <c r="Q12" s="26" t="str">
        <f>IF(OR(ISBLANK(P12), P12="",AND(L12=0,P12=0)), "", IF(AND(L12=0, P12&gt;0), 100, IF(AND(L12&gt;0, P12=0), 0, ROUND((P12/L12)*100, 3))))</f>
        <v/>
      </c>
      <c r="R12" s="19">
        <f>R19</f>
        <v>0</v>
      </c>
      <c r="S12" s="26" t="str">
        <f>IF(OR(O12&lt;&gt;0,R12&lt;&gt;0),R12-O12,"")</f>
        <v/>
      </c>
      <c r="T12" s="26" t="str">
        <f>IF(OR(ISBLANK(S12), S12="",AND(O12=0,S12=0)), "", IF(AND(O12=0, S12&gt;0), 100, IF(AND(O12&gt;0, S12=0), 0, ROUND((S12/O12)*100, 3))))</f>
        <v/>
      </c>
      <c r="U12" s="26" t="str">
        <f>IF(OR(R12&lt;&gt;0,E12&lt;&gt;0),R12-E12,"")</f>
        <v/>
      </c>
      <c r="V12" s="26" t="str">
        <f>IF(OR(ISBLANK(U12), U12="",AND(E12=0,U12=0)), "", IF(AND(E12=0, U12&gt;0), 100, IF(AND(E12&gt;0, U12=0), 0, ROUND((U12/E12)*100, 3))))</f>
        <v/>
      </c>
    </row>
    <row r="13" spans="1:22" s="1" customFormat="1">
      <c r="A13" s="34" t="s">
        <v>32</v>
      </c>
      <c r="B13" s="35" t="s">
        <v>33</v>
      </c>
      <c r="C13" s="38" t="s">
        <v>34</v>
      </c>
      <c r="D13" s="20">
        <f>D12-D18</f>
        <v>0</v>
      </c>
      <c r="E13" s="20">
        <f t="shared" ref="E13:F13" si="0">E12-E18</f>
        <v>0</v>
      </c>
      <c r="F13" s="20">
        <f t="shared" si="0"/>
        <v>0</v>
      </c>
      <c r="G13" s="27" t="str">
        <f t="shared" ref="G13:G76" si="1">IF(OR(E13&lt;&gt;0,F13&lt;&gt;0),F13-E13,"")</f>
        <v/>
      </c>
      <c r="H13" s="27" t="str">
        <f t="shared" ref="H13:H76" si="2">IF(OR(ISBLANK(G13), G13="",AND(E13=0,G13=0)), "", IF(AND(E13=0, G13&gt;0), 100, IF(AND(E13&gt;0, G13=0), 0, ROUND((G13/E13)*100, 3))))</f>
        <v/>
      </c>
      <c r="I13" s="20">
        <f>I12-I18</f>
        <v>0</v>
      </c>
      <c r="J13" s="27" t="str">
        <f t="shared" ref="J13:J76" si="3">IF(OR(F13&lt;&gt;0,I13&lt;&gt;0),I13-F13,"")</f>
        <v/>
      </c>
      <c r="K13" s="27" t="str">
        <f t="shared" ref="K13:K76" si="4">IF(OR(ISBLANK(J13), J13="",AND(F13=0,J13=0)), "", IF(AND(F13=0, J13&gt;0), 100, IF(AND(F13&gt;0, J13=0), 0, ROUND((J13/F13)*100, 3))))</f>
        <v/>
      </c>
      <c r="L13" s="20">
        <f>L12-L18</f>
        <v>0</v>
      </c>
      <c r="M13" s="27" t="str">
        <f t="shared" ref="M13:M76" si="5">IF(OR(I13&lt;&gt;0,L13&lt;&gt;0),L13-I13,"")</f>
        <v/>
      </c>
      <c r="N13" s="27" t="str">
        <f t="shared" ref="N13:N76" si="6">IF(OR(ISBLANK(M13), M13="",AND(I13=0,M13=0)), "", IF(AND(I13=0, M13&gt;0), 100, IF(AND(I13&gt;0, M13=0), 0, ROUND((M13/I13)*100, 3))))</f>
        <v/>
      </c>
      <c r="O13" s="20">
        <f>O12-O18</f>
        <v>0</v>
      </c>
      <c r="P13" s="27" t="str">
        <f t="shared" ref="P13:P76" si="7">IF(OR(L13&lt;&gt;0,O13&lt;&gt;0),O13-L13,"")</f>
        <v/>
      </c>
      <c r="Q13" s="27" t="str">
        <f t="shared" ref="Q13:Q76" si="8">IF(OR(ISBLANK(P13), P13="",AND(L13=0,P13=0)), "", IF(AND(L13=0, P13&gt;0), 100, IF(AND(L13&gt;0, P13=0), 0, ROUND((P13/L13)*100, 3))))</f>
        <v/>
      </c>
      <c r="R13" s="20">
        <f>R12-R18</f>
        <v>0</v>
      </c>
      <c r="S13" s="27" t="str">
        <f t="shared" ref="S13:S76" si="9">IF(OR(O13&lt;&gt;0,R13&lt;&gt;0),R13-O13,"")</f>
        <v/>
      </c>
      <c r="T13" s="27" t="str">
        <f t="shared" ref="T13:T76" si="10">IF(OR(ISBLANK(S13), S13="",AND(O13=0,S13=0)), "", IF(AND(O13=0, S13&gt;0), 100, IF(AND(O13&gt;0, S13=0), 0, ROUND((S13/O13)*100, 3))))</f>
        <v/>
      </c>
      <c r="U13" s="27" t="str">
        <f t="shared" ref="U13:U76" si="11">IF(OR(R13&lt;&gt;0,E13&lt;&gt;0),R13-E13,"")</f>
        <v/>
      </c>
      <c r="V13" s="27" t="str">
        <f t="shared" ref="V13:V76" si="12">IF(OR(ISBLANK(U13), U13="",AND(E13=0,U13=0)), "", IF(AND(E13=0, U13&gt;0), 100, IF(AND(E13&gt;0, U13=0), 0, ROUND((U13/E13)*100, 3))))</f>
        <v/>
      </c>
    </row>
    <row r="14" spans="1:22" s="1" customFormat="1">
      <c r="A14" s="35" t="s">
        <v>35</v>
      </c>
      <c r="B14" s="35" t="s">
        <v>36</v>
      </c>
      <c r="C14" s="39" t="s">
        <v>37</v>
      </c>
      <c r="D14" s="20">
        <f>D13-D15</f>
        <v>0</v>
      </c>
      <c r="E14" s="20">
        <f t="shared" ref="E14:F14" si="13">E13-E15</f>
        <v>0</v>
      </c>
      <c r="F14" s="20">
        <f t="shared" si="13"/>
        <v>0</v>
      </c>
      <c r="G14" s="27" t="str">
        <f t="shared" si="1"/>
        <v/>
      </c>
      <c r="H14" s="27" t="str">
        <f t="shared" si="2"/>
        <v/>
      </c>
      <c r="I14" s="20">
        <f t="shared" ref="I14" si="14">I13-I15</f>
        <v>0</v>
      </c>
      <c r="J14" s="27" t="str">
        <f t="shared" si="3"/>
        <v/>
      </c>
      <c r="K14" s="27" t="str">
        <f t="shared" si="4"/>
        <v/>
      </c>
      <c r="L14" s="20">
        <f t="shared" ref="L14" si="15">L13-L15</f>
        <v>0</v>
      </c>
      <c r="M14" s="27" t="str">
        <f t="shared" si="5"/>
        <v/>
      </c>
      <c r="N14" s="27" t="str">
        <f t="shared" si="6"/>
        <v/>
      </c>
      <c r="O14" s="20">
        <f t="shared" ref="O14" si="16">O13-O15</f>
        <v>0</v>
      </c>
      <c r="P14" s="27" t="str">
        <f t="shared" si="7"/>
        <v/>
      </c>
      <c r="Q14" s="27" t="str">
        <f t="shared" si="8"/>
        <v/>
      </c>
      <c r="R14" s="20">
        <f t="shared" ref="R14" si="17">R13-R15</f>
        <v>0</v>
      </c>
      <c r="S14" s="27" t="str">
        <f t="shared" si="9"/>
        <v/>
      </c>
      <c r="T14" s="27" t="str">
        <f t="shared" si="10"/>
        <v/>
      </c>
      <c r="U14" s="27" t="str">
        <f t="shared" si="11"/>
        <v/>
      </c>
      <c r="V14" s="27" t="str">
        <f t="shared" si="12"/>
        <v/>
      </c>
    </row>
    <row r="15" spans="1:22" s="7" customFormat="1">
      <c r="A15" s="35" t="s">
        <v>38</v>
      </c>
      <c r="B15" s="35" t="s">
        <v>39</v>
      </c>
      <c r="C15" s="39" t="s">
        <v>40</v>
      </c>
      <c r="D15" s="20">
        <f>D16+D17</f>
        <v>0</v>
      </c>
      <c r="E15" s="20">
        <f t="shared" ref="E15:F15" si="18">E16+E17</f>
        <v>0</v>
      </c>
      <c r="F15" s="20">
        <f t="shared" si="18"/>
        <v>0</v>
      </c>
      <c r="G15" s="27" t="str">
        <f t="shared" si="1"/>
        <v/>
      </c>
      <c r="H15" s="27" t="str">
        <f t="shared" si="2"/>
        <v/>
      </c>
      <c r="I15" s="20">
        <f t="shared" ref="I15" si="19">I16+I17</f>
        <v>0</v>
      </c>
      <c r="J15" s="27" t="str">
        <f t="shared" si="3"/>
        <v/>
      </c>
      <c r="K15" s="27" t="str">
        <f t="shared" si="4"/>
        <v/>
      </c>
      <c r="L15" s="20">
        <f t="shared" ref="L15" si="20">L16+L17</f>
        <v>0</v>
      </c>
      <c r="M15" s="27" t="str">
        <f t="shared" si="5"/>
        <v/>
      </c>
      <c r="N15" s="27" t="str">
        <f t="shared" si="6"/>
        <v/>
      </c>
      <c r="O15" s="20">
        <f t="shared" ref="O15" si="21">O16+O17</f>
        <v>0</v>
      </c>
      <c r="P15" s="27" t="str">
        <f t="shared" si="7"/>
        <v/>
      </c>
      <c r="Q15" s="27" t="str">
        <f t="shared" si="8"/>
        <v/>
      </c>
      <c r="R15" s="20">
        <f t="shared" ref="R15" si="22">R16+R17</f>
        <v>0</v>
      </c>
      <c r="S15" s="27" t="str">
        <f t="shared" si="9"/>
        <v/>
      </c>
      <c r="T15" s="27" t="str">
        <f t="shared" si="10"/>
        <v/>
      </c>
      <c r="U15" s="27" t="str">
        <f t="shared" si="11"/>
        <v/>
      </c>
      <c r="V15" s="27" t="str">
        <f t="shared" si="12"/>
        <v/>
      </c>
    </row>
    <row r="16" spans="1:22" s="7" customFormat="1">
      <c r="A16" s="35" t="s">
        <v>41</v>
      </c>
      <c r="B16" s="35" t="s">
        <v>42</v>
      </c>
      <c r="C16" s="39" t="s">
        <v>43</v>
      </c>
      <c r="D16" s="15"/>
      <c r="E16" s="15"/>
      <c r="F16" s="15"/>
      <c r="G16" s="21" t="str">
        <f t="shared" si="1"/>
        <v/>
      </c>
      <c r="H16" s="21" t="str">
        <f t="shared" si="2"/>
        <v/>
      </c>
      <c r="I16" s="16"/>
      <c r="J16" s="28" t="str">
        <f t="shared" si="3"/>
        <v/>
      </c>
      <c r="K16" s="28" t="str">
        <f t="shared" si="4"/>
        <v/>
      </c>
      <c r="L16" s="30"/>
      <c r="M16" s="28" t="str">
        <f t="shared" si="5"/>
        <v/>
      </c>
      <c r="N16" s="28" t="str">
        <f t="shared" si="6"/>
        <v/>
      </c>
      <c r="O16" s="30"/>
      <c r="P16" s="28" t="str">
        <f t="shared" si="7"/>
        <v/>
      </c>
      <c r="Q16" s="28" t="str">
        <f t="shared" si="8"/>
        <v/>
      </c>
      <c r="R16" s="30"/>
      <c r="S16" s="28" t="str">
        <f t="shared" si="9"/>
        <v/>
      </c>
      <c r="T16" s="28" t="str">
        <f t="shared" si="10"/>
        <v/>
      </c>
      <c r="U16" s="28" t="str">
        <f t="shared" si="11"/>
        <v/>
      </c>
      <c r="V16" s="28" t="str">
        <f t="shared" si="12"/>
        <v/>
      </c>
    </row>
    <row r="17" spans="1:22" s="8" customFormat="1">
      <c r="A17" s="35" t="s">
        <v>44</v>
      </c>
      <c r="B17" s="35" t="s">
        <v>45</v>
      </c>
      <c r="C17" s="39" t="s">
        <v>46</v>
      </c>
      <c r="D17" s="15"/>
      <c r="E17" s="15"/>
      <c r="F17" s="15"/>
      <c r="G17" s="21" t="str">
        <f t="shared" si="1"/>
        <v/>
      </c>
      <c r="H17" s="21" t="str">
        <f t="shared" si="2"/>
        <v/>
      </c>
      <c r="I17" s="16"/>
      <c r="J17" s="28" t="str">
        <f t="shared" si="3"/>
        <v/>
      </c>
      <c r="K17" s="28" t="str">
        <f t="shared" si="4"/>
        <v/>
      </c>
      <c r="L17" s="30"/>
      <c r="M17" s="28" t="str">
        <f t="shared" si="5"/>
        <v/>
      </c>
      <c r="N17" s="28" t="str">
        <f t="shared" si="6"/>
        <v/>
      </c>
      <c r="O17" s="30"/>
      <c r="P17" s="28" t="str">
        <f t="shared" si="7"/>
        <v/>
      </c>
      <c r="Q17" s="28" t="str">
        <f t="shared" si="8"/>
        <v/>
      </c>
      <c r="R17" s="30"/>
      <c r="S17" s="28" t="str">
        <f t="shared" si="9"/>
        <v/>
      </c>
      <c r="T17" s="28" t="str">
        <f t="shared" si="10"/>
        <v/>
      </c>
      <c r="U17" s="28" t="str">
        <f t="shared" si="11"/>
        <v/>
      </c>
      <c r="V17" s="28" t="str">
        <f t="shared" si="12"/>
        <v/>
      </c>
    </row>
    <row r="18" spans="1:22" s="8" customFormat="1">
      <c r="A18" s="34" t="s">
        <v>47</v>
      </c>
      <c r="B18" s="35" t="s">
        <v>48</v>
      </c>
      <c r="C18" s="38" t="s">
        <v>49</v>
      </c>
      <c r="D18" s="15"/>
      <c r="E18" s="15"/>
      <c r="F18" s="15"/>
      <c r="G18" s="21" t="str">
        <f t="shared" si="1"/>
        <v/>
      </c>
      <c r="H18" s="21" t="str">
        <f t="shared" si="2"/>
        <v/>
      </c>
      <c r="I18" s="16"/>
      <c r="J18" s="28" t="str">
        <f t="shared" si="3"/>
        <v/>
      </c>
      <c r="K18" s="28" t="str">
        <f t="shared" si="4"/>
        <v/>
      </c>
      <c r="L18" s="30"/>
      <c r="M18" s="28" t="str">
        <f t="shared" si="5"/>
        <v/>
      </c>
      <c r="N18" s="28" t="str">
        <f t="shared" si="6"/>
        <v/>
      </c>
      <c r="O18" s="30"/>
      <c r="P18" s="28" t="str">
        <f t="shared" si="7"/>
        <v/>
      </c>
      <c r="Q18" s="28" t="str">
        <f t="shared" si="8"/>
        <v/>
      </c>
      <c r="R18" s="30"/>
      <c r="S18" s="28" t="str">
        <f t="shared" si="9"/>
        <v/>
      </c>
      <c r="T18" s="28" t="str">
        <f t="shared" si="10"/>
        <v/>
      </c>
      <c r="U18" s="28" t="str">
        <f t="shared" si="11"/>
        <v/>
      </c>
      <c r="V18" s="28" t="str">
        <f t="shared" si="12"/>
        <v/>
      </c>
    </row>
    <row r="19" spans="1:22" s="8" customFormat="1">
      <c r="A19" s="34" t="s">
        <v>50</v>
      </c>
      <c r="B19" s="35" t="s">
        <v>51</v>
      </c>
      <c r="C19" s="38" t="s">
        <v>52</v>
      </c>
      <c r="D19" s="20">
        <f>D20+D50+D66</f>
        <v>0</v>
      </c>
      <c r="E19" s="20">
        <f t="shared" ref="E19:F19" si="23">E20+E50+E66</f>
        <v>0</v>
      </c>
      <c r="F19" s="20">
        <f t="shared" si="23"/>
        <v>0</v>
      </c>
      <c r="G19" s="27" t="str">
        <f t="shared" si="1"/>
        <v/>
      </c>
      <c r="H19" s="27" t="str">
        <f t="shared" si="2"/>
        <v/>
      </c>
      <c r="I19" s="20">
        <f t="shared" ref="I19" si="24">I20+I50+I66</f>
        <v>0</v>
      </c>
      <c r="J19" s="27" t="str">
        <f t="shared" si="3"/>
        <v/>
      </c>
      <c r="K19" s="27" t="str">
        <f t="shared" si="4"/>
        <v/>
      </c>
      <c r="L19" s="20">
        <f t="shared" ref="L19" si="25">L20+L50+L66</f>
        <v>0</v>
      </c>
      <c r="M19" s="27" t="str">
        <f t="shared" si="5"/>
        <v/>
      </c>
      <c r="N19" s="27" t="str">
        <f t="shared" si="6"/>
        <v/>
      </c>
      <c r="O19" s="20">
        <f t="shared" ref="O19" si="26">O20+O50+O66</f>
        <v>0</v>
      </c>
      <c r="P19" s="27" t="str">
        <f t="shared" si="7"/>
        <v/>
      </c>
      <c r="Q19" s="27" t="str">
        <f t="shared" si="8"/>
        <v/>
      </c>
      <c r="R19" s="20">
        <f t="shared" ref="R19" si="27">R20+R50+R66</f>
        <v>0</v>
      </c>
      <c r="S19" s="27" t="str">
        <f t="shared" si="9"/>
        <v/>
      </c>
      <c r="T19" s="27" t="str">
        <f t="shared" si="10"/>
        <v/>
      </c>
      <c r="U19" s="27" t="str">
        <f t="shared" si="11"/>
        <v/>
      </c>
      <c r="V19" s="27" t="str">
        <f t="shared" si="12"/>
        <v/>
      </c>
    </row>
    <row r="20" spans="1:22">
      <c r="A20" s="34" t="s">
        <v>32</v>
      </c>
      <c r="B20" s="35" t="s">
        <v>53</v>
      </c>
      <c r="C20" s="38" t="s">
        <v>54</v>
      </c>
      <c r="D20" s="20">
        <f>SUM(D21:D33)+SUM(D36:D43)+D49</f>
        <v>0</v>
      </c>
      <c r="E20" s="20">
        <f t="shared" ref="E20:F20" si="28">SUM(E21:E33)+SUM(E36:E43)+E49</f>
        <v>0</v>
      </c>
      <c r="F20" s="20">
        <f t="shared" si="28"/>
        <v>0</v>
      </c>
      <c r="G20" s="27" t="str">
        <f t="shared" si="1"/>
        <v/>
      </c>
      <c r="H20" s="27" t="str">
        <f t="shared" si="2"/>
        <v/>
      </c>
      <c r="I20" s="20">
        <f t="shared" ref="I20" si="29">SUM(I21:I33)+SUM(I36:I43)+I49</f>
        <v>0</v>
      </c>
      <c r="J20" s="27" t="str">
        <f t="shared" si="3"/>
        <v/>
      </c>
      <c r="K20" s="27" t="str">
        <f t="shared" si="4"/>
        <v/>
      </c>
      <c r="L20" s="20">
        <f t="shared" ref="L20" si="30">SUM(L21:L33)+SUM(L36:L43)+L49</f>
        <v>0</v>
      </c>
      <c r="M20" s="27" t="str">
        <f t="shared" si="5"/>
        <v/>
      </c>
      <c r="N20" s="27" t="str">
        <f t="shared" si="6"/>
        <v/>
      </c>
      <c r="O20" s="20">
        <f t="shared" ref="O20" si="31">SUM(O21:O33)+SUM(O36:O43)+O49</f>
        <v>0</v>
      </c>
      <c r="P20" s="27" t="str">
        <f t="shared" si="7"/>
        <v/>
      </c>
      <c r="Q20" s="27" t="str">
        <f t="shared" si="8"/>
        <v/>
      </c>
      <c r="R20" s="20">
        <f t="shared" ref="R20" si="32">SUM(R21:R33)+SUM(R36:R43)+R49</f>
        <v>0</v>
      </c>
      <c r="S20" s="27" t="str">
        <f t="shared" si="9"/>
        <v/>
      </c>
      <c r="T20" s="27" t="str">
        <f t="shared" si="10"/>
        <v/>
      </c>
      <c r="U20" s="27" t="str">
        <f t="shared" si="11"/>
        <v/>
      </c>
      <c r="V20" s="27" t="str">
        <f t="shared" si="12"/>
        <v/>
      </c>
    </row>
    <row r="21" spans="1:22">
      <c r="A21" s="35" t="s">
        <v>35</v>
      </c>
      <c r="B21" s="35" t="s">
        <v>55</v>
      </c>
      <c r="C21" s="39" t="s">
        <v>56</v>
      </c>
      <c r="D21" s="15"/>
      <c r="E21" s="15"/>
      <c r="F21" s="15"/>
      <c r="G21" s="21" t="str">
        <f t="shared" si="1"/>
        <v/>
      </c>
      <c r="H21" s="21" t="str">
        <f t="shared" si="2"/>
        <v/>
      </c>
      <c r="I21" s="16"/>
      <c r="J21" s="28" t="str">
        <f t="shared" si="3"/>
        <v/>
      </c>
      <c r="K21" s="28" t="str">
        <f t="shared" si="4"/>
        <v/>
      </c>
      <c r="L21" s="30"/>
      <c r="M21" s="28" t="str">
        <f t="shared" si="5"/>
        <v/>
      </c>
      <c r="N21" s="28" t="str">
        <f t="shared" si="6"/>
        <v/>
      </c>
      <c r="O21" s="30"/>
      <c r="P21" s="28" t="str">
        <f t="shared" si="7"/>
        <v/>
      </c>
      <c r="Q21" s="28" t="str">
        <f t="shared" si="8"/>
        <v/>
      </c>
      <c r="R21" s="30"/>
      <c r="S21" s="28" t="str">
        <f t="shared" si="9"/>
        <v/>
      </c>
      <c r="T21" s="28" t="str">
        <f t="shared" si="10"/>
        <v/>
      </c>
      <c r="U21" s="28" t="str">
        <f t="shared" si="11"/>
        <v/>
      </c>
      <c r="V21" s="28" t="str">
        <f t="shared" si="12"/>
        <v/>
      </c>
    </row>
    <row r="22" spans="1:22">
      <c r="A22" s="35" t="s">
        <v>38</v>
      </c>
      <c r="B22" s="35" t="s">
        <v>57</v>
      </c>
      <c r="C22" s="39" t="s">
        <v>58</v>
      </c>
      <c r="D22" s="15"/>
      <c r="E22" s="15"/>
      <c r="F22" s="15"/>
      <c r="G22" s="21" t="str">
        <f t="shared" si="1"/>
        <v/>
      </c>
      <c r="H22" s="21" t="str">
        <f t="shared" si="2"/>
        <v/>
      </c>
      <c r="I22" s="16"/>
      <c r="J22" s="28" t="str">
        <f t="shared" si="3"/>
        <v/>
      </c>
      <c r="K22" s="28" t="str">
        <f t="shared" si="4"/>
        <v/>
      </c>
      <c r="L22" s="30"/>
      <c r="M22" s="28" t="str">
        <f t="shared" si="5"/>
        <v/>
      </c>
      <c r="N22" s="28" t="str">
        <f t="shared" si="6"/>
        <v/>
      </c>
      <c r="O22" s="30"/>
      <c r="P22" s="28" t="str">
        <f t="shared" si="7"/>
        <v/>
      </c>
      <c r="Q22" s="28" t="str">
        <f t="shared" si="8"/>
        <v/>
      </c>
      <c r="R22" s="30"/>
      <c r="S22" s="28" t="str">
        <f t="shared" si="9"/>
        <v/>
      </c>
      <c r="T22" s="28" t="str">
        <f t="shared" si="10"/>
        <v/>
      </c>
      <c r="U22" s="28" t="str">
        <f t="shared" si="11"/>
        <v/>
      </c>
      <c r="V22" s="28" t="str">
        <f t="shared" si="12"/>
        <v/>
      </c>
    </row>
    <row r="23" spans="1:22" s="1" customFormat="1">
      <c r="A23" s="35" t="s">
        <v>59</v>
      </c>
      <c r="B23" s="35" t="s">
        <v>60</v>
      </c>
      <c r="C23" s="39" t="s">
        <v>61</v>
      </c>
      <c r="D23" s="15"/>
      <c r="E23" s="15"/>
      <c r="F23" s="15"/>
      <c r="G23" s="21" t="str">
        <f t="shared" si="1"/>
        <v/>
      </c>
      <c r="H23" s="21" t="str">
        <f t="shared" si="2"/>
        <v/>
      </c>
      <c r="I23" s="16"/>
      <c r="J23" s="28" t="str">
        <f t="shared" si="3"/>
        <v/>
      </c>
      <c r="K23" s="28" t="str">
        <f t="shared" si="4"/>
        <v/>
      </c>
      <c r="L23" s="30"/>
      <c r="M23" s="28" t="str">
        <f t="shared" si="5"/>
        <v/>
      </c>
      <c r="N23" s="28" t="str">
        <f t="shared" si="6"/>
        <v/>
      </c>
      <c r="O23" s="30"/>
      <c r="P23" s="28" t="str">
        <f t="shared" si="7"/>
        <v/>
      </c>
      <c r="Q23" s="28" t="str">
        <f t="shared" si="8"/>
        <v/>
      </c>
      <c r="R23" s="30"/>
      <c r="S23" s="28" t="str">
        <f t="shared" si="9"/>
        <v/>
      </c>
      <c r="T23" s="28" t="str">
        <f t="shared" si="10"/>
        <v/>
      </c>
      <c r="U23" s="28" t="str">
        <f t="shared" si="11"/>
        <v/>
      </c>
      <c r="V23" s="28" t="str">
        <f t="shared" si="12"/>
        <v/>
      </c>
    </row>
    <row r="24" spans="1:22" s="7" customFormat="1">
      <c r="A24" s="35" t="s">
        <v>62</v>
      </c>
      <c r="B24" s="35" t="s">
        <v>63</v>
      </c>
      <c r="C24" s="39" t="s">
        <v>64</v>
      </c>
      <c r="D24" s="15"/>
      <c r="E24" s="15"/>
      <c r="F24" s="15"/>
      <c r="G24" s="21" t="str">
        <f t="shared" si="1"/>
        <v/>
      </c>
      <c r="H24" s="21" t="str">
        <f t="shared" si="2"/>
        <v/>
      </c>
      <c r="I24" s="17"/>
      <c r="J24" s="28" t="str">
        <f t="shared" si="3"/>
        <v/>
      </c>
      <c r="K24" s="28" t="str">
        <f t="shared" si="4"/>
        <v/>
      </c>
      <c r="L24" s="31"/>
      <c r="M24" s="28" t="str">
        <f t="shared" si="5"/>
        <v/>
      </c>
      <c r="N24" s="28" t="str">
        <f t="shared" si="6"/>
        <v/>
      </c>
      <c r="O24" s="31"/>
      <c r="P24" s="28" t="str">
        <f t="shared" si="7"/>
        <v/>
      </c>
      <c r="Q24" s="28" t="str">
        <f t="shared" si="8"/>
        <v/>
      </c>
      <c r="R24" s="31"/>
      <c r="S24" s="28" t="str">
        <f t="shared" si="9"/>
        <v/>
      </c>
      <c r="T24" s="28" t="str">
        <f t="shared" si="10"/>
        <v/>
      </c>
      <c r="U24" s="28" t="str">
        <f t="shared" si="11"/>
        <v/>
      </c>
      <c r="V24" s="28" t="str">
        <f t="shared" si="12"/>
        <v/>
      </c>
    </row>
    <row r="25" spans="1:22" ht="31.5">
      <c r="A25" s="35" t="s">
        <v>65</v>
      </c>
      <c r="B25" s="35" t="s">
        <v>66</v>
      </c>
      <c r="C25" s="39" t="s">
        <v>67</v>
      </c>
      <c r="D25" s="15"/>
      <c r="E25" s="15"/>
      <c r="F25" s="15"/>
      <c r="G25" s="21" t="str">
        <f t="shared" si="1"/>
        <v/>
      </c>
      <c r="H25" s="21" t="str">
        <f t="shared" si="2"/>
        <v/>
      </c>
      <c r="I25" s="16"/>
      <c r="J25" s="28" t="str">
        <f t="shared" si="3"/>
        <v/>
      </c>
      <c r="K25" s="28" t="str">
        <f t="shared" si="4"/>
        <v/>
      </c>
      <c r="L25" s="30"/>
      <c r="M25" s="28" t="str">
        <f t="shared" si="5"/>
        <v/>
      </c>
      <c r="N25" s="28" t="str">
        <f t="shared" si="6"/>
        <v/>
      </c>
      <c r="O25" s="30"/>
      <c r="P25" s="28" t="str">
        <f t="shared" si="7"/>
        <v/>
      </c>
      <c r="Q25" s="28" t="str">
        <f t="shared" si="8"/>
        <v/>
      </c>
      <c r="R25" s="30"/>
      <c r="S25" s="28" t="str">
        <f t="shared" si="9"/>
        <v/>
      </c>
      <c r="T25" s="28" t="str">
        <f t="shared" si="10"/>
        <v/>
      </c>
      <c r="U25" s="28" t="str">
        <f t="shared" si="11"/>
        <v/>
      </c>
      <c r="V25" s="28" t="str">
        <f t="shared" si="12"/>
        <v/>
      </c>
    </row>
    <row r="26" spans="1:22" ht="31.5">
      <c r="A26" s="35" t="s">
        <v>68</v>
      </c>
      <c r="B26" s="35" t="s">
        <v>69</v>
      </c>
      <c r="C26" s="39" t="s">
        <v>70</v>
      </c>
      <c r="D26" s="15"/>
      <c r="E26" s="15"/>
      <c r="F26" s="15"/>
      <c r="G26" s="21" t="str">
        <f t="shared" si="1"/>
        <v/>
      </c>
      <c r="H26" s="21" t="str">
        <f t="shared" si="2"/>
        <v/>
      </c>
      <c r="I26" s="16"/>
      <c r="J26" s="28" t="str">
        <f t="shared" si="3"/>
        <v/>
      </c>
      <c r="K26" s="28" t="str">
        <f t="shared" si="4"/>
        <v/>
      </c>
      <c r="L26" s="30"/>
      <c r="M26" s="28" t="str">
        <f t="shared" si="5"/>
        <v/>
      </c>
      <c r="N26" s="28" t="str">
        <f t="shared" si="6"/>
        <v/>
      </c>
      <c r="O26" s="30"/>
      <c r="P26" s="28" t="str">
        <f t="shared" si="7"/>
        <v/>
      </c>
      <c r="Q26" s="28" t="str">
        <f t="shared" si="8"/>
        <v/>
      </c>
      <c r="R26" s="30"/>
      <c r="S26" s="28" t="str">
        <f t="shared" si="9"/>
        <v/>
      </c>
      <c r="T26" s="28" t="str">
        <f t="shared" si="10"/>
        <v/>
      </c>
      <c r="U26" s="28" t="str">
        <f t="shared" si="11"/>
        <v/>
      </c>
      <c r="V26" s="28" t="str">
        <f t="shared" si="12"/>
        <v/>
      </c>
    </row>
    <row r="27" spans="1:22" ht="31.5">
      <c r="A27" s="35" t="s">
        <v>71</v>
      </c>
      <c r="B27" s="35" t="s">
        <v>72</v>
      </c>
      <c r="C27" s="39" t="s">
        <v>73</v>
      </c>
      <c r="D27" s="15"/>
      <c r="E27" s="15"/>
      <c r="F27" s="15"/>
      <c r="G27" s="21" t="str">
        <f t="shared" si="1"/>
        <v/>
      </c>
      <c r="H27" s="21" t="str">
        <f t="shared" si="2"/>
        <v/>
      </c>
      <c r="I27" s="16"/>
      <c r="J27" s="28" t="str">
        <f t="shared" si="3"/>
        <v/>
      </c>
      <c r="K27" s="28" t="str">
        <f t="shared" si="4"/>
        <v/>
      </c>
      <c r="L27" s="30"/>
      <c r="M27" s="28" t="str">
        <f t="shared" si="5"/>
        <v/>
      </c>
      <c r="N27" s="28" t="str">
        <f t="shared" si="6"/>
        <v/>
      </c>
      <c r="O27" s="30"/>
      <c r="P27" s="28" t="str">
        <f t="shared" si="7"/>
        <v/>
      </c>
      <c r="Q27" s="28" t="str">
        <f t="shared" si="8"/>
        <v/>
      </c>
      <c r="R27" s="30"/>
      <c r="S27" s="28" t="str">
        <f t="shared" si="9"/>
        <v/>
      </c>
      <c r="T27" s="28" t="str">
        <f t="shared" si="10"/>
        <v/>
      </c>
      <c r="U27" s="28" t="str">
        <f t="shared" si="11"/>
        <v/>
      </c>
      <c r="V27" s="28" t="str">
        <f t="shared" si="12"/>
        <v/>
      </c>
    </row>
    <row r="28" spans="1:22">
      <c r="A28" s="35" t="s">
        <v>74</v>
      </c>
      <c r="B28" s="35" t="s">
        <v>75</v>
      </c>
      <c r="C28" s="39" t="s">
        <v>76</v>
      </c>
      <c r="D28" s="15"/>
      <c r="E28" s="15"/>
      <c r="F28" s="15"/>
      <c r="G28" s="21" t="str">
        <f t="shared" si="1"/>
        <v/>
      </c>
      <c r="H28" s="21" t="str">
        <f t="shared" si="2"/>
        <v/>
      </c>
      <c r="I28" s="16"/>
      <c r="J28" s="28" t="str">
        <f t="shared" si="3"/>
        <v/>
      </c>
      <c r="K28" s="28" t="str">
        <f t="shared" si="4"/>
        <v/>
      </c>
      <c r="L28" s="30"/>
      <c r="M28" s="28" t="str">
        <f t="shared" si="5"/>
        <v/>
      </c>
      <c r="N28" s="28" t="str">
        <f t="shared" si="6"/>
        <v/>
      </c>
      <c r="O28" s="30"/>
      <c r="P28" s="28" t="str">
        <f t="shared" si="7"/>
        <v/>
      </c>
      <c r="Q28" s="28" t="str">
        <f t="shared" si="8"/>
        <v/>
      </c>
      <c r="R28" s="30"/>
      <c r="S28" s="28" t="str">
        <f t="shared" si="9"/>
        <v/>
      </c>
      <c r="T28" s="28" t="str">
        <f t="shared" si="10"/>
        <v/>
      </c>
      <c r="U28" s="28" t="str">
        <f t="shared" si="11"/>
        <v/>
      </c>
      <c r="V28" s="28" t="str">
        <f t="shared" si="12"/>
        <v/>
      </c>
    </row>
    <row r="29" spans="1:22">
      <c r="A29" s="35" t="s">
        <v>77</v>
      </c>
      <c r="B29" s="35" t="s">
        <v>78</v>
      </c>
      <c r="C29" s="39" t="s">
        <v>79</v>
      </c>
      <c r="D29" s="15"/>
      <c r="E29" s="15"/>
      <c r="F29" s="15"/>
      <c r="G29" s="21" t="str">
        <f t="shared" si="1"/>
        <v/>
      </c>
      <c r="H29" s="21" t="str">
        <f t="shared" si="2"/>
        <v/>
      </c>
      <c r="I29" s="16"/>
      <c r="J29" s="28" t="str">
        <f t="shared" si="3"/>
        <v/>
      </c>
      <c r="K29" s="28" t="str">
        <f t="shared" si="4"/>
        <v/>
      </c>
      <c r="L29" s="30"/>
      <c r="M29" s="28" t="str">
        <f t="shared" si="5"/>
        <v/>
      </c>
      <c r="N29" s="28" t="str">
        <f t="shared" si="6"/>
        <v/>
      </c>
      <c r="O29" s="30"/>
      <c r="P29" s="28" t="str">
        <f t="shared" si="7"/>
        <v/>
      </c>
      <c r="Q29" s="28" t="str">
        <f t="shared" si="8"/>
        <v/>
      </c>
      <c r="R29" s="30"/>
      <c r="S29" s="28" t="str">
        <f t="shared" si="9"/>
        <v/>
      </c>
      <c r="T29" s="28" t="str">
        <f t="shared" si="10"/>
        <v/>
      </c>
      <c r="U29" s="28" t="str">
        <f t="shared" si="11"/>
        <v/>
      </c>
      <c r="V29" s="28" t="str">
        <f t="shared" si="12"/>
        <v/>
      </c>
    </row>
    <row r="30" spans="1:22">
      <c r="A30" s="35" t="s">
        <v>80</v>
      </c>
      <c r="B30" s="35" t="s">
        <v>81</v>
      </c>
      <c r="C30" s="39" t="s">
        <v>82</v>
      </c>
      <c r="D30" s="15"/>
      <c r="E30" s="15"/>
      <c r="F30" s="15"/>
      <c r="G30" s="21" t="str">
        <f t="shared" si="1"/>
        <v/>
      </c>
      <c r="H30" s="21" t="str">
        <f t="shared" si="2"/>
        <v/>
      </c>
      <c r="I30" s="16"/>
      <c r="J30" s="28" t="str">
        <f t="shared" si="3"/>
        <v/>
      </c>
      <c r="K30" s="28" t="str">
        <f t="shared" si="4"/>
        <v/>
      </c>
      <c r="L30" s="30"/>
      <c r="M30" s="28" t="str">
        <f t="shared" si="5"/>
        <v/>
      </c>
      <c r="N30" s="28" t="str">
        <f t="shared" si="6"/>
        <v/>
      </c>
      <c r="O30" s="30"/>
      <c r="P30" s="28" t="str">
        <f t="shared" si="7"/>
        <v/>
      </c>
      <c r="Q30" s="28" t="str">
        <f t="shared" si="8"/>
        <v/>
      </c>
      <c r="R30" s="30"/>
      <c r="S30" s="28" t="str">
        <f t="shared" si="9"/>
        <v/>
      </c>
      <c r="T30" s="28" t="str">
        <f t="shared" si="10"/>
        <v/>
      </c>
      <c r="U30" s="28" t="str">
        <f t="shared" si="11"/>
        <v/>
      </c>
      <c r="V30" s="28" t="str">
        <f t="shared" si="12"/>
        <v/>
      </c>
    </row>
    <row r="31" spans="1:22">
      <c r="A31" s="35" t="s">
        <v>83</v>
      </c>
      <c r="B31" s="35" t="s">
        <v>84</v>
      </c>
      <c r="C31" s="39" t="s">
        <v>85</v>
      </c>
      <c r="D31" s="15"/>
      <c r="E31" s="15"/>
      <c r="F31" s="15"/>
      <c r="G31" s="21" t="str">
        <f t="shared" si="1"/>
        <v/>
      </c>
      <c r="H31" s="21" t="str">
        <f t="shared" si="2"/>
        <v/>
      </c>
      <c r="I31" s="16"/>
      <c r="J31" s="28" t="str">
        <f t="shared" si="3"/>
        <v/>
      </c>
      <c r="K31" s="28" t="str">
        <f t="shared" si="4"/>
        <v/>
      </c>
      <c r="L31" s="30"/>
      <c r="M31" s="28" t="str">
        <f t="shared" si="5"/>
        <v/>
      </c>
      <c r="N31" s="28" t="str">
        <f t="shared" si="6"/>
        <v/>
      </c>
      <c r="O31" s="30"/>
      <c r="P31" s="28" t="str">
        <f t="shared" si="7"/>
        <v/>
      </c>
      <c r="Q31" s="28" t="str">
        <f t="shared" si="8"/>
        <v/>
      </c>
      <c r="R31" s="30"/>
      <c r="S31" s="28" t="str">
        <f t="shared" si="9"/>
        <v/>
      </c>
      <c r="T31" s="28" t="str">
        <f t="shared" si="10"/>
        <v/>
      </c>
      <c r="U31" s="28" t="str">
        <f t="shared" si="11"/>
        <v/>
      </c>
      <c r="V31" s="28" t="str">
        <f t="shared" si="12"/>
        <v/>
      </c>
    </row>
    <row r="32" spans="1:22">
      <c r="A32" s="35" t="s">
        <v>86</v>
      </c>
      <c r="B32" s="35" t="s">
        <v>87</v>
      </c>
      <c r="C32" s="39" t="s">
        <v>88</v>
      </c>
      <c r="D32" s="15"/>
      <c r="E32" s="15"/>
      <c r="F32" s="15"/>
      <c r="G32" s="21" t="str">
        <f t="shared" si="1"/>
        <v/>
      </c>
      <c r="H32" s="21" t="str">
        <f t="shared" si="2"/>
        <v/>
      </c>
      <c r="I32" s="16"/>
      <c r="J32" s="28" t="str">
        <f t="shared" si="3"/>
        <v/>
      </c>
      <c r="K32" s="28" t="str">
        <f t="shared" si="4"/>
        <v/>
      </c>
      <c r="L32" s="30"/>
      <c r="M32" s="28" t="str">
        <f t="shared" si="5"/>
        <v/>
      </c>
      <c r="N32" s="28" t="str">
        <f t="shared" si="6"/>
        <v/>
      </c>
      <c r="O32" s="30"/>
      <c r="P32" s="28" t="str">
        <f t="shared" si="7"/>
        <v/>
      </c>
      <c r="Q32" s="28" t="str">
        <f t="shared" si="8"/>
        <v/>
      </c>
      <c r="R32" s="30"/>
      <c r="S32" s="28" t="str">
        <f t="shared" si="9"/>
        <v/>
      </c>
      <c r="T32" s="28" t="str">
        <f t="shared" si="10"/>
        <v/>
      </c>
      <c r="U32" s="28" t="str">
        <f t="shared" si="11"/>
        <v/>
      </c>
      <c r="V32" s="28" t="str">
        <f t="shared" si="12"/>
        <v/>
      </c>
    </row>
    <row r="33" spans="1:23">
      <c r="A33" s="35" t="s">
        <v>89</v>
      </c>
      <c r="B33" s="35" t="s">
        <v>90</v>
      </c>
      <c r="C33" s="39" t="s">
        <v>91</v>
      </c>
      <c r="D33" s="15"/>
      <c r="E33" s="15"/>
      <c r="F33" s="15"/>
      <c r="G33" s="21" t="str">
        <f t="shared" si="1"/>
        <v/>
      </c>
      <c r="H33" s="21" t="str">
        <f t="shared" si="2"/>
        <v/>
      </c>
      <c r="I33" s="16"/>
      <c r="J33" s="28" t="str">
        <f t="shared" si="3"/>
        <v/>
      </c>
      <c r="K33" s="28" t="str">
        <f t="shared" si="4"/>
        <v/>
      </c>
      <c r="L33" s="30"/>
      <c r="M33" s="28" t="str">
        <f t="shared" si="5"/>
        <v/>
      </c>
      <c r="N33" s="28" t="str">
        <f t="shared" si="6"/>
        <v/>
      </c>
      <c r="O33" s="30"/>
      <c r="P33" s="28" t="str">
        <f t="shared" si="7"/>
        <v/>
      </c>
      <c r="Q33" s="28" t="str">
        <f t="shared" si="8"/>
        <v/>
      </c>
      <c r="R33" s="30"/>
      <c r="S33" s="28" t="str">
        <f t="shared" si="9"/>
        <v/>
      </c>
      <c r="T33" s="28" t="str">
        <f t="shared" si="10"/>
        <v/>
      </c>
      <c r="U33" s="28" t="str">
        <f t="shared" si="11"/>
        <v/>
      </c>
      <c r="V33" s="28" t="str">
        <f t="shared" si="12"/>
        <v/>
      </c>
    </row>
    <row r="34" spans="1:23">
      <c r="A34" s="36" t="s">
        <v>92</v>
      </c>
      <c r="B34" s="35" t="s">
        <v>93</v>
      </c>
      <c r="C34" s="40" t="s">
        <v>94</v>
      </c>
      <c r="D34" s="15"/>
      <c r="E34" s="15"/>
      <c r="F34" s="15"/>
      <c r="G34" s="21" t="str">
        <f t="shared" si="1"/>
        <v/>
      </c>
      <c r="H34" s="21" t="str">
        <f t="shared" si="2"/>
        <v/>
      </c>
      <c r="I34" s="16"/>
      <c r="J34" s="28" t="str">
        <f t="shared" si="3"/>
        <v/>
      </c>
      <c r="K34" s="28" t="str">
        <f t="shared" si="4"/>
        <v/>
      </c>
      <c r="L34" s="30"/>
      <c r="M34" s="28" t="str">
        <f t="shared" si="5"/>
        <v/>
      </c>
      <c r="N34" s="28" t="str">
        <f t="shared" si="6"/>
        <v/>
      </c>
      <c r="O34" s="30"/>
      <c r="P34" s="28" t="str">
        <f t="shared" si="7"/>
        <v/>
      </c>
      <c r="Q34" s="28" t="str">
        <f t="shared" si="8"/>
        <v/>
      </c>
      <c r="R34" s="30"/>
      <c r="S34" s="28" t="str">
        <f t="shared" si="9"/>
        <v/>
      </c>
      <c r="T34" s="28" t="str">
        <f t="shared" si="10"/>
        <v/>
      </c>
      <c r="U34" s="28" t="str">
        <f t="shared" si="11"/>
        <v/>
      </c>
      <c r="V34" s="28" t="str">
        <f t="shared" si="12"/>
        <v/>
      </c>
    </row>
    <row r="35" spans="1:23">
      <c r="A35" s="36" t="s">
        <v>92</v>
      </c>
      <c r="B35" s="35" t="s">
        <v>95</v>
      </c>
      <c r="C35" s="40" t="s">
        <v>96</v>
      </c>
      <c r="D35" s="20">
        <f>D33-D34</f>
        <v>0</v>
      </c>
      <c r="E35" s="20">
        <f>E33-E34</f>
        <v>0</v>
      </c>
      <c r="F35" s="20">
        <f>F33-F34</f>
        <v>0</v>
      </c>
      <c r="G35" s="27" t="str">
        <f t="shared" si="1"/>
        <v/>
      </c>
      <c r="H35" s="27" t="str">
        <f t="shared" si="2"/>
        <v/>
      </c>
      <c r="I35" s="20">
        <f>I33-I34</f>
        <v>0</v>
      </c>
      <c r="J35" s="27" t="str">
        <f t="shared" si="3"/>
        <v/>
      </c>
      <c r="K35" s="27" t="str">
        <f t="shared" si="4"/>
        <v/>
      </c>
      <c r="L35" s="20">
        <f>L33-L34</f>
        <v>0</v>
      </c>
      <c r="M35" s="27" t="str">
        <f t="shared" si="5"/>
        <v/>
      </c>
      <c r="N35" s="27" t="str">
        <f t="shared" si="6"/>
        <v/>
      </c>
      <c r="O35" s="20">
        <f>O33-O34</f>
        <v>0</v>
      </c>
      <c r="P35" s="27" t="str">
        <f t="shared" si="7"/>
        <v/>
      </c>
      <c r="Q35" s="27" t="str">
        <f t="shared" si="8"/>
        <v/>
      </c>
      <c r="R35" s="20">
        <f>R33-R34</f>
        <v>0</v>
      </c>
      <c r="S35" s="27" t="str">
        <f t="shared" si="9"/>
        <v/>
      </c>
      <c r="T35" s="27" t="str">
        <f t="shared" si="10"/>
        <v/>
      </c>
      <c r="U35" s="27" t="str">
        <f t="shared" si="11"/>
        <v/>
      </c>
      <c r="V35" s="27" t="str">
        <f t="shared" si="12"/>
        <v/>
      </c>
    </row>
    <row r="36" spans="1:23" ht="31.5">
      <c r="A36" s="35" t="s">
        <v>97</v>
      </c>
      <c r="B36" s="35" t="s">
        <v>98</v>
      </c>
      <c r="C36" s="39" t="s">
        <v>99</v>
      </c>
      <c r="D36" s="15"/>
      <c r="E36" s="15"/>
      <c r="F36" s="15"/>
      <c r="G36" s="21" t="str">
        <f t="shared" si="1"/>
        <v/>
      </c>
      <c r="H36" s="21" t="str">
        <f t="shared" si="2"/>
        <v/>
      </c>
      <c r="I36" s="16"/>
      <c r="J36" s="28" t="str">
        <f t="shared" si="3"/>
        <v/>
      </c>
      <c r="K36" s="28" t="str">
        <f t="shared" si="4"/>
        <v/>
      </c>
      <c r="L36" s="30"/>
      <c r="M36" s="28" t="str">
        <f t="shared" si="5"/>
        <v/>
      </c>
      <c r="N36" s="28" t="str">
        <f t="shared" si="6"/>
        <v/>
      </c>
      <c r="O36" s="30"/>
      <c r="P36" s="28" t="str">
        <f t="shared" si="7"/>
        <v/>
      </c>
      <c r="Q36" s="28" t="str">
        <f t="shared" si="8"/>
        <v/>
      </c>
      <c r="R36" s="30"/>
      <c r="S36" s="28" t="str">
        <f t="shared" si="9"/>
        <v/>
      </c>
      <c r="T36" s="28" t="str">
        <f t="shared" si="10"/>
        <v/>
      </c>
      <c r="U36" s="28" t="str">
        <f t="shared" si="11"/>
        <v/>
      </c>
      <c r="V36" s="28" t="str">
        <f t="shared" si="12"/>
        <v/>
      </c>
    </row>
    <row r="37" spans="1:23" ht="31.5">
      <c r="A37" s="35" t="s">
        <v>100</v>
      </c>
      <c r="B37" s="35" t="s">
        <v>101</v>
      </c>
      <c r="C37" s="39" t="s">
        <v>102</v>
      </c>
      <c r="D37" s="15"/>
      <c r="E37" s="15"/>
      <c r="F37" s="15"/>
      <c r="G37" s="21" t="str">
        <f t="shared" si="1"/>
        <v/>
      </c>
      <c r="H37" s="21" t="str">
        <f t="shared" si="2"/>
        <v/>
      </c>
      <c r="I37" s="16"/>
      <c r="J37" s="28" t="str">
        <f t="shared" si="3"/>
        <v/>
      </c>
      <c r="K37" s="28" t="str">
        <f t="shared" si="4"/>
        <v/>
      </c>
      <c r="L37" s="30"/>
      <c r="M37" s="28" t="str">
        <f t="shared" si="5"/>
        <v/>
      </c>
      <c r="N37" s="28" t="str">
        <f t="shared" si="6"/>
        <v/>
      </c>
      <c r="O37" s="30"/>
      <c r="P37" s="28" t="str">
        <f t="shared" si="7"/>
        <v/>
      </c>
      <c r="Q37" s="28" t="str">
        <f t="shared" si="8"/>
        <v/>
      </c>
      <c r="R37" s="30"/>
      <c r="S37" s="28" t="str">
        <f t="shared" si="9"/>
        <v/>
      </c>
      <c r="T37" s="28" t="str">
        <f t="shared" si="10"/>
        <v/>
      </c>
      <c r="U37" s="28" t="str">
        <f t="shared" si="11"/>
        <v/>
      </c>
      <c r="V37" s="28" t="str">
        <f t="shared" si="12"/>
        <v/>
      </c>
    </row>
    <row r="38" spans="1:23" ht="31.5">
      <c r="A38" s="35" t="s">
        <v>103</v>
      </c>
      <c r="B38" s="35" t="s">
        <v>104</v>
      </c>
      <c r="C38" s="39" t="s">
        <v>105</v>
      </c>
      <c r="D38" s="15"/>
      <c r="E38" s="15"/>
      <c r="F38" s="15"/>
      <c r="G38" s="21" t="str">
        <f t="shared" si="1"/>
        <v/>
      </c>
      <c r="H38" s="21" t="str">
        <f t="shared" si="2"/>
        <v/>
      </c>
      <c r="I38" s="16"/>
      <c r="J38" s="28" t="str">
        <f t="shared" si="3"/>
        <v/>
      </c>
      <c r="K38" s="28" t="str">
        <f t="shared" si="4"/>
        <v/>
      </c>
      <c r="L38" s="30"/>
      <c r="M38" s="28" t="str">
        <f t="shared" si="5"/>
        <v/>
      </c>
      <c r="N38" s="28" t="str">
        <f t="shared" si="6"/>
        <v/>
      </c>
      <c r="O38" s="30"/>
      <c r="P38" s="28" t="str">
        <f t="shared" si="7"/>
        <v/>
      </c>
      <c r="Q38" s="28" t="str">
        <f t="shared" si="8"/>
        <v/>
      </c>
      <c r="R38" s="30"/>
      <c r="S38" s="28" t="str">
        <f t="shared" si="9"/>
        <v/>
      </c>
      <c r="T38" s="28" t="str">
        <f t="shared" si="10"/>
        <v/>
      </c>
      <c r="U38" s="28" t="str">
        <f t="shared" si="11"/>
        <v/>
      </c>
      <c r="V38" s="28" t="str">
        <f t="shared" si="12"/>
        <v/>
      </c>
    </row>
    <row r="39" spans="1:23" ht="31.5">
      <c r="A39" s="35" t="s">
        <v>106</v>
      </c>
      <c r="B39" s="35" t="s">
        <v>107</v>
      </c>
      <c r="C39" s="39" t="s">
        <v>108</v>
      </c>
      <c r="D39" s="15"/>
      <c r="E39" s="15"/>
      <c r="F39" s="15"/>
      <c r="G39" s="21" t="str">
        <f t="shared" si="1"/>
        <v/>
      </c>
      <c r="H39" s="21" t="str">
        <f t="shared" si="2"/>
        <v/>
      </c>
      <c r="I39" s="16"/>
      <c r="J39" s="28" t="str">
        <f t="shared" si="3"/>
        <v/>
      </c>
      <c r="K39" s="28" t="str">
        <f t="shared" si="4"/>
        <v/>
      </c>
      <c r="L39" s="30"/>
      <c r="M39" s="28" t="str">
        <f t="shared" si="5"/>
        <v/>
      </c>
      <c r="N39" s="28" t="str">
        <f t="shared" si="6"/>
        <v/>
      </c>
      <c r="O39" s="30"/>
      <c r="P39" s="28" t="str">
        <f t="shared" si="7"/>
        <v/>
      </c>
      <c r="Q39" s="28" t="str">
        <f t="shared" si="8"/>
        <v/>
      </c>
      <c r="R39" s="30"/>
      <c r="S39" s="28" t="str">
        <f t="shared" si="9"/>
        <v/>
      </c>
      <c r="T39" s="28" t="str">
        <f t="shared" si="10"/>
        <v/>
      </c>
      <c r="U39" s="28" t="str">
        <f t="shared" si="11"/>
        <v/>
      </c>
      <c r="V39" s="28" t="str">
        <f t="shared" si="12"/>
        <v/>
      </c>
    </row>
    <row r="40" spans="1:23" ht="47.25">
      <c r="A40" s="35" t="s">
        <v>109</v>
      </c>
      <c r="B40" s="35" t="s">
        <v>110</v>
      </c>
      <c r="C40" s="39" t="s">
        <v>111</v>
      </c>
      <c r="D40" s="15"/>
      <c r="E40" s="15"/>
      <c r="F40" s="15"/>
      <c r="G40" s="21" t="str">
        <f t="shared" si="1"/>
        <v/>
      </c>
      <c r="H40" s="21" t="str">
        <f t="shared" si="2"/>
        <v/>
      </c>
      <c r="I40" s="16"/>
      <c r="J40" s="28" t="str">
        <f t="shared" si="3"/>
        <v/>
      </c>
      <c r="K40" s="28" t="str">
        <f t="shared" si="4"/>
        <v/>
      </c>
      <c r="L40" s="30"/>
      <c r="M40" s="28" t="str">
        <f t="shared" si="5"/>
        <v/>
      </c>
      <c r="N40" s="28" t="str">
        <f t="shared" si="6"/>
        <v/>
      </c>
      <c r="O40" s="30"/>
      <c r="P40" s="28" t="str">
        <f t="shared" si="7"/>
        <v/>
      </c>
      <c r="Q40" s="28" t="str">
        <f t="shared" si="8"/>
        <v/>
      </c>
      <c r="R40" s="30"/>
      <c r="S40" s="28" t="str">
        <f t="shared" si="9"/>
        <v/>
      </c>
      <c r="T40" s="28" t="str">
        <f t="shared" si="10"/>
        <v/>
      </c>
      <c r="U40" s="28" t="str">
        <f t="shared" si="11"/>
        <v/>
      </c>
      <c r="V40" s="28" t="str">
        <f t="shared" si="12"/>
        <v/>
      </c>
    </row>
    <row r="41" spans="1:23">
      <c r="A41" s="35" t="s">
        <v>112</v>
      </c>
      <c r="B41" s="35" t="s">
        <v>113</v>
      </c>
      <c r="C41" s="39" t="s">
        <v>114</v>
      </c>
      <c r="D41" s="15"/>
      <c r="E41" s="15"/>
      <c r="F41" s="15"/>
      <c r="G41" s="21" t="str">
        <f t="shared" si="1"/>
        <v/>
      </c>
      <c r="H41" s="21" t="str">
        <f t="shared" si="2"/>
        <v/>
      </c>
      <c r="I41" s="16"/>
      <c r="J41" s="28" t="str">
        <f t="shared" si="3"/>
        <v/>
      </c>
      <c r="K41" s="28" t="str">
        <f t="shared" si="4"/>
        <v/>
      </c>
      <c r="L41" s="30"/>
      <c r="M41" s="28" t="str">
        <f t="shared" si="5"/>
        <v/>
      </c>
      <c r="N41" s="28" t="str">
        <f t="shared" si="6"/>
        <v/>
      </c>
      <c r="O41" s="30"/>
      <c r="P41" s="28" t="str">
        <f t="shared" si="7"/>
        <v/>
      </c>
      <c r="Q41" s="28" t="str">
        <f t="shared" si="8"/>
        <v/>
      </c>
      <c r="R41" s="30"/>
      <c r="S41" s="28" t="str">
        <f t="shared" si="9"/>
        <v/>
      </c>
      <c r="T41" s="28" t="str">
        <f t="shared" si="10"/>
        <v/>
      </c>
      <c r="U41" s="28" t="str">
        <f t="shared" si="11"/>
        <v/>
      </c>
      <c r="V41" s="28" t="str">
        <f t="shared" si="12"/>
        <v/>
      </c>
    </row>
    <row r="42" spans="1:23" ht="31.5">
      <c r="A42" s="35" t="s">
        <v>115</v>
      </c>
      <c r="B42" s="35" t="s">
        <v>116</v>
      </c>
      <c r="C42" s="39" t="s">
        <v>117</v>
      </c>
      <c r="D42" s="15"/>
      <c r="E42" s="15"/>
      <c r="F42" s="15"/>
      <c r="G42" s="21" t="str">
        <f t="shared" si="1"/>
        <v/>
      </c>
      <c r="H42" s="21" t="str">
        <f t="shared" si="2"/>
        <v/>
      </c>
      <c r="I42" s="16"/>
      <c r="J42" s="28" t="str">
        <f t="shared" si="3"/>
        <v/>
      </c>
      <c r="K42" s="28" t="str">
        <f t="shared" si="4"/>
        <v/>
      </c>
      <c r="L42" s="30"/>
      <c r="M42" s="28" t="str">
        <f t="shared" si="5"/>
        <v/>
      </c>
      <c r="N42" s="28" t="str">
        <f t="shared" si="6"/>
        <v/>
      </c>
      <c r="O42" s="30"/>
      <c r="P42" s="28" t="str">
        <f t="shared" si="7"/>
        <v/>
      </c>
      <c r="Q42" s="28" t="str">
        <f t="shared" si="8"/>
        <v/>
      </c>
      <c r="R42" s="30"/>
      <c r="S42" s="28" t="str">
        <f t="shared" si="9"/>
        <v/>
      </c>
      <c r="T42" s="28" t="str">
        <f t="shared" si="10"/>
        <v/>
      </c>
      <c r="U42" s="28" t="str">
        <f t="shared" si="11"/>
        <v/>
      </c>
      <c r="V42" s="28" t="str">
        <f t="shared" si="12"/>
        <v/>
      </c>
    </row>
    <row r="43" spans="1:23">
      <c r="A43" s="35" t="s">
        <v>118</v>
      </c>
      <c r="B43" s="35" t="s">
        <v>119</v>
      </c>
      <c r="C43" s="39" t="s">
        <v>120</v>
      </c>
      <c r="D43" s="15"/>
      <c r="E43" s="15"/>
      <c r="F43" s="15"/>
      <c r="G43" s="21" t="str">
        <f t="shared" si="1"/>
        <v/>
      </c>
      <c r="H43" s="21" t="str">
        <f t="shared" si="2"/>
        <v/>
      </c>
      <c r="I43" s="16"/>
      <c r="J43" s="28" t="str">
        <f t="shared" si="3"/>
        <v/>
      </c>
      <c r="K43" s="28" t="str">
        <f t="shared" si="4"/>
        <v/>
      </c>
      <c r="L43" s="30"/>
      <c r="M43" s="28" t="str">
        <f t="shared" si="5"/>
        <v/>
      </c>
      <c r="N43" s="28" t="str">
        <f t="shared" si="6"/>
        <v/>
      </c>
      <c r="O43" s="30"/>
      <c r="P43" s="28" t="str">
        <f t="shared" si="7"/>
        <v/>
      </c>
      <c r="Q43" s="28" t="str">
        <f t="shared" si="8"/>
        <v/>
      </c>
      <c r="R43" s="30"/>
      <c r="S43" s="28" t="str">
        <f t="shared" si="9"/>
        <v/>
      </c>
      <c r="T43" s="28" t="str">
        <f t="shared" si="10"/>
        <v/>
      </c>
      <c r="U43" s="28" t="str">
        <f t="shared" si="11"/>
        <v/>
      </c>
      <c r="V43" s="28" t="str">
        <f t="shared" si="12"/>
        <v/>
      </c>
    </row>
    <row r="44" spans="1:23">
      <c r="A44" s="36" t="s">
        <v>92</v>
      </c>
      <c r="B44" s="35" t="s">
        <v>121</v>
      </c>
      <c r="C44" s="40" t="s">
        <v>122</v>
      </c>
      <c r="D44" s="15"/>
      <c r="E44" s="15"/>
      <c r="F44" s="15"/>
      <c r="G44" s="21" t="str">
        <f t="shared" si="1"/>
        <v/>
      </c>
      <c r="H44" s="21" t="str">
        <f t="shared" si="2"/>
        <v/>
      </c>
      <c r="I44" s="16"/>
      <c r="J44" s="28" t="str">
        <f t="shared" si="3"/>
        <v/>
      </c>
      <c r="K44" s="28" t="str">
        <f t="shared" si="4"/>
        <v/>
      </c>
      <c r="L44" s="30"/>
      <c r="M44" s="28" t="str">
        <f t="shared" si="5"/>
        <v/>
      </c>
      <c r="N44" s="28" t="str">
        <f t="shared" si="6"/>
        <v/>
      </c>
      <c r="O44" s="30"/>
      <c r="P44" s="28" t="str">
        <f t="shared" si="7"/>
        <v/>
      </c>
      <c r="Q44" s="28" t="str">
        <f t="shared" si="8"/>
        <v/>
      </c>
      <c r="R44" s="30"/>
      <c r="S44" s="28" t="str">
        <f t="shared" si="9"/>
        <v/>
      </c>
      <c r="T44" s="28" t="str">
        <f t="shared" si="10"/>
        <v/>
      </c>
      <c r="U44" s="28" t="str">
        <f t="shared" si="11"/>
        <v/>
      </c>
      <c r="V44" s="28" t="str">
        <f t="shared" si="12"/>
        <v/>
      </c>
    </row>
    <row r="45" spans="1:23" s="7" customFormat="1">
      <c r="A45" s="36" t="s">
        <v>92</v>
      </c>
      <c r="B45" s="35" t="s">
        <v>123</v>
      </c>
      <c r="C45" s="40" t="s">
        <v>124</v>
      </c>
      <c r="D45" s="15"/>
      <c r="E45" s="15"/>
      <c r="F45" s="15"/>
      <c r="G45" s="21" t="str">
        <f t="shared" si="1"/>
        <v/>
      </c>
      <c r="H45" s="21" t="str">
        <f t="shared" si="2"/>
        <v/>
      </c>
      <c r="I45" s="16"/>
      <c r="J45" s="28" t="str">
        <f t="shared" si="3"/>
        <v/>
      </c>
      <c r="K45" s="28" t="str">
        <f t="shared" si="4"/>
        <v/>
      </c>
      <c r="L45" s="30"/>
      <c r="M45" s="28" t="str">
        <f t="shared" si="5"/>
        <v/>
      </c>
      <c r="N45" s="28" t="str">
        <f t="shared" si="6"/>
        <v/>
      </c>
      <c r="O45" s="30"/>
      <c r="P45" s="28" t="str">
        <f t="shared" si="7"/>
        <v/>
      </c>
      <c r="Q45" s="28" t="str">
        <f t="shared" si="8"/>
        <v/>
      </c>
      <c r="R45" s="30"/>
      <c r="S45" s="28" t="str">
        <f t="shared" si="9"/>
        <v/>
      </c>
      <c r="T45" s="28" t="str">
        <f t="shared" si="10"/>
        <v/>
      </c>
      <c r="U45" s="28" t="str">
        <f t="shared" si="11"/>
        <v/>
      </c>
      <c r="V45" s="28" t="str">
        <f t="shared" si="12"/>
        <v/>
      </c>
      <c r="W45" s="2"/>
    </row>
    <row r="46" spans="1:23">
      <c r="A46" s="36" t="s">
        <v>92</v>
      </c>
      <c r="B46" s="35" t="s">
        <v>125</v>
      </c>
      <c r="C46" s="40" t="s">
        <v>126</v>
      </c>
      <c r="D46" s="15"/>
      <c r="E46" s="15"/>
      <c r="F46" s="15"/>
      <c r="G46" s="21" t="str">
        <f t="shared" si="1"/>
        <v/>
      </c>
      <c r="H46" s="21" t="str">
        <f t="shared" si="2"/>
        <v/>
      </c>
      <c r="I46" s="16"/>
      <c r="J46" s="28" t="str">
        <f t="shared" si="3"/>
        <v/>
      </c>
      <c r="K46" s="28" t="str">
        <f t="shared" si="4"/>
        <v/>
      </c>
      <c r="L46" s="30"/>
      <c r="M46" s="28" t="str">
        <f t="shared" si="5"/>
        <v/>
      </c>
      <c r="N46" s="28" t="str">
        <f t="shared" si="6"/>
        <v/>
      </c>
      <c r="O46" s="30"/>
      <c r="P46" s="28" t="str">
        <f t="shared" si="7"/>
        <v/>
      </c>
      <c r="Q46" s="28" t="str">
        <f t="shared" si="8"/>
        <v/>
      </c>
      <c r="R46" s="30"/>
      <c r="S46" s="28" t="str">
        <f t="shared" si="9"/>
        <v/>
      </c>
      <c r="T46" s="28" t="str">
        <f t="shared" si="10"/>
        <v/>
      </c>
      <c r="U46" s="28" t="str">
        <f t="shared" si="11"/>
        <v/>
      </c>
      <c r="V46" s="28" t="str">
        <f t="shared" si="12"/>
        <v/>
      </c>
    </row>
    <row r="47" spans="1:23">
      <c r="A47" s="36" t="s">
        <v>92</v>
      </c>
      <c r="B47" s="35" t="s">
        <v>127</v>
      </c>
      <c r="C47" s="40" t="s">
        <v>128</v>
      </c>
      <c r="D47" s="15"/>
      <c r="E47" s="15"/>
      <c r="F47" s="15"/>
      <c r="G47" s="21" t="str">
        <f t="shared" si="1"/>
        <v/>
      </c>
      <c r="H47" s="21" t="str">
        <f t="shared" si="2"/>
        <v/>
      </c>
      <c r="I47" s="16"/>
      <c r="J47" s="28" t="str">
        <f t="shared" si="3"/>
        <v/>
      </c>
      <c r="K47" s="28" t="str">
        <f t="shared" si="4"/>
        <v/>
      </c>
      <c r="L47" s="30"/>
      <c r="M47" s="28" t="str">
        <f t="shared" si="5"/>
        <v/>
      </c>
      <c r="N47" s="28" t="str">
        <f t="shared" si="6"/>
        <v/>
      </c>
      <c r="O47" s="30"/>
      <c r="P47" s="28" t="str">
        <f t="shared" si="7"/>
        <v/>
      </c>
      <c r="Q47" s="28" t="str">
        <f t="shared" si="8"/>
        <v/>
      </c>
      <c r="R47" s="30"/>
      <c r="S47" s="28" t="str">
        <f t="shared" si="9"/>
        <v/>
      </c>
      <c r="T47" s="28" t="str">
        <f t="shared" si="10"/>
        <v/>
      </c>
      <c r="U47" s="28" t="str">
        <f t="shared" si="11"/>
        <v/>
      </c>
      <c r="V47" s="28" t="str">
        <f t="shared" si="12"/>
        <v/>
      </c>
    </row>
    <row r="48" spans="1:23">
      <c r="A48" s="36" t="s">
        <v>92</v>
      </c>
      <c r="B48" s="35" t="s">
        <v>129</v>
      </c>
      <c r="C48" s="40" t="s">
        <v>130</v>
      </c>
      <c r="D48" s="15"/>
      <c r="E48" s="15"/>
      <c r="F48" s="15"/>
      <c r="G48" s="21" t="str">
        <f t="shared" si="1"/>
        <v/>
      </c>
      <c r="H48" s="21" t="str">
        <f t="shared" si="2"/>
        <v/>
      </c>
      <c r="I48" s="16"/>
      <c r="J48" s="28" t="str">
        <f t="shared" si="3"/>
        <v/>
      </c>
      <c r="K48" s="28" t="str">
        <f t="shared" si="4"/>
        <v/>
      </c>
      <c r="L48" s="30"/>
      <c r="M48" s="28" t="str">
        <f t="shared" si="5"/>
        <v/>
      </c>
      <c r="N48" s="28" t="str">
        <f t="shared" si="6"/>
        <v/>
      </c>
      <c r="O48" s="30"/>
      <c r="P48" s="28" t="str">
        <f t="shared" si="7"/>
        <v/>
      </c>
      <c r="Q48" s="28" t="str">
        <f t="shared" si="8"/>
        <v/>
      </c>
      <c r="R48" s="30"/>
      <c r="S48" s="28" t="str">
        <f t="shared" si="9"/>
        <v/>
      </c>
      <c r="T48" s="28" t="str">
        <f t="shared" si="10"/>
        <v/>
      </c>
      <c r="U48" s="28" t="str">
        <f t="shared" si="11"/>
        <v/>
      </c>
      <c r="V48" s="28" t="str">
        <f t="shared" si="12"/>
        <v/>
      </c>
    </row>
    <row r="49" spans="1:22">
      <c r="A49" s="35" t="s">
        <v>131</v>
      </c>
      <c r="B49" s="35" t="s">
        <v>132</v>
      </c>
      <c r="C49" s="39" t="s">
        <v>133</v>
      </c>
      <c r="D49" s="15"/>
      <c r="E49" s="15"/>
      <c r="F49" s="15"/>
      <c r="G49" s="21" t="str">
        <f t="shared" si="1"/>
        <v/>
      </c>
      <c r="H49" s="21" t="str">
        <f t="shared" si="2"/>
        <v/>
      </c>
      <c r="I49" s="16"/>
      <c r="J49" s="28" t="str">
        <f t="shared" si="3"/>
        <v/>
      </c>
      <c r="K49" s="28" t="str">
        <f t="shared" si="4"/>
        <v/>
      </c>
      <c r="L49" s="30"/>
      <c r="M49" s="28" t="str">
        <f t="shared" si="5"/>
        <v/>
      </c>
      <c r="N49" s="28" t="str">
        <f t="shared" si="6"/>
        <v/>
      </c>
      <c r="O49" s="30"/>
      <c r="P49" s="28" t="str">
        <f t="shared" si="7"/>
        <v/>
      </c>
      <c r="Q49" s="28" t="str">
        <f t="shared" si="8"/>
        <v/>
      </c>
      <c r="R49" s="30"/>
      <c r="S49" s="28" t="str">
        <f t="shared" si="9"/>
        <v/>
      </c>
      <c r="T49" s="28" t="str">
        <f t="shared" si="10"/>
        <v/>
      </c>
      <c r="U49" s="28" t="str">
        <f t="shared" si="11"/>
        <v/>
      </c>
      <c r="V49" s="28" t="str">
        <f t="shared" si="12"/>
        <v/>
      </c>
    </row>
    <row r="50" spans="1:22">
      <c r="A50" s="34" t="s">
        <v>47</v>
      </c>
      <c r="B50" s="35" t="s">
        <v>134</v>
      </c>
      <c r="C50" s="38" t="s">
        <v>135</v>
      </c>
      <c r="D50" s="20">
        <f>SUM(D51:D61)+D64+D65</f>
        <v>0</v>
      </c>
      <c r="E50" s="20">
        <f t="shared" ref="E50:F50" si="33">SUM(E51:E61)+E64+E65</f>
        <v>0</v>
      </c>
      <c r="F50" s="20">
        <f t="shared" si="33"/>
        <v>0</v>
      </c>
      <c r="G50" s="27" t="str">
        <f t="shared" si="1"/>
        <v/>
      </c>
      <c r="H50" s="27" t="str">
        <f t="shared" si="2"/>
        <v/>
      </c>
      <c r="I50" s="20">
        <f t="shared" ref="I50" si="34">SUM(I51:I61)+I64+I65</f>
        <v>0</v>
      </c>
      <c r="J50" s="27" t="str">
        <f t="shared" si="3"/>
        <v/>
      </c>
      <c r="K50" s="27" t="str">
        <f t="shared" si="4"/>
        <v/>
      </c>
      <c r="L50" s="20">
        <f t="shared" ref="L50" si="35">SUM(L51:L61)+L64+L65</f>
        <v>0</v>
      </c>
      <c r="M50" s="27" t="str">
        <f t="shared" si="5"/>
        <v/>
      </c>
      <c r="N50" s="27" t="str">
        <f t="shared" si="6"/>
        <v/>
      </c>
      <c r="O50" s="20">
        <f t="shared" ref="O50" si="36">SUM(O51:O61)+O64+O65</f>
        <v>0</v>
      </c>
      <c r="P50" s="27" t="str">
        <f t="shared" si="7"/>
        <v/>
      </c>
      <c r="Q50" s="27" t="str">
        <f t="shared" si="8"/>
        <v/>
      </c>
      <c r="R50" s="20">
        <f t="shared" ref="R50" si="37">SUM(R51:R61)+R64+R65</f>
        <v>0</v>
      </c>
      <c r="S50" s="27" t="str">
        <f t="shared" si="9"/>
        <v/>
      </c>
      <c r="T50" s="27" t="str">
        <f t="shared" si="10"/>
        <v/>
      </c>
      <c r="U50" s="27" t="str">
        <f t="shared" si="11"/>
        <v/>
      </c>
      <c r="V50" s="27" t="str">
        <f t="shared" si="12"/>
        <v/>
      </c>
    </row>
    <row r="51" spans="1:22">
      <c r="A51" s="35" t="s">
        <v>35</v>
      </c>
      <c r="B51" s="35" t="s">
        <v>136</v>
      </c>
      <c r="C51" s="39" t="s">
        <v>56</v>
      </c>
      <c r="D51" s="15"/>
      <c r="E51" s="15"/>
      <c r="F51" s="15"/>
      <c r="G51" s="21" t="str">
        <f t="shared" si="1"/>
        <v/>
      </c>
      <c r="H51" s="21" t="str">
        <f t="shared" si="2"/>
        <v/>
      </c>
      <c r="I51" s="16"/>
      <c r="J51" s="28" t="str">
        <f t="shared" si="3"/>
        <v/>
      </c>
      <c r="K51" s="28" t="str">
        <f t="shared" si="4"/>
        <v/>
      </c>
      <c r="L51" s="30"/>
      <c r="M51" s="28" t="str">
        <f t="shared" si="5"/>
        <v/>
      </c>
      <c r="N51" s="28" t="str">
        <f t="shared" si="6"/>
        <v/>
      </c>
      <c r="O51" s="30"/>
      <c r="P51" s="28" t="str">
        <f t="shared" si="7"/>
        <v/>
      </c>
      <c r="Q51" s="28" t="str">
        <f t="shared" si="8"/>
        <v/>
      </c>
      <c r="R51" s="30"/>
      <c r="S51" s="28" t="str">
        <f t="shared" si="9"/>
        <v/>
      </c>
      <c r="T51" s="28" t="str">
        <f t="shared" si="10"/>
        <v/>
      </c>
      <c r="U51" s="28" t="str">
        <f t="shared" si="11"/>
        <v/>
      </c>
      <c r="V51" s="28" t="str">
        <f t="shared" si="12"/>
        <v/>
      </c>
    </row>
    <row r="52" spans="1:22" s="9" customFormat="1">
      <c r="A52" s="35" t="s">
        <v>38</v>
      </c>
      <c r="B52" s="35" t="s">
        <v>137</v>
      </c>
      <c r="C52" s="39" t="s">
        <v>58</v>
      </c>
      <c r="D52" s="15"/>
      <c r="E52" s="15"/>
      <c r="F52" s="15"/>
      <c r="G52" s="21" t="str">
        <f t="shared" si="1"/>
        <v/>
      </c>
      <c r="H52" s="21" t="str">
        <f t="shared" si="2"/>
        <v/>
      </c>
      <c r="I52" s="16"/>
      <c r="J52" s="28" t="str">
        <f t="shared" si="3"/>
        <v/>
      </c>
      <c r="K52" s="28" t="str">
        <f t="shared" si="4"/>
        <v/>
      </c>
      <c r="L52" s="30"/>
      <c r="M52" s="28" t="str">
        <f t="shared" si="5"/>
        <v/>
      </c>
      <c r="N52" s="28" t="str">
        <f t="shared" si="6"/>
        <v/>
      </c>
      <c r="O52" s="30"/>
      <c r="P52" s="28" t="str">
        <f t="shared" si="7"/>
        <v/>
      </c>
      <c r="Q52" s="28" t="str">
        <f t="shared" si="8"/>
        <v/>
      </c>
      <c r="R52" s="30"/>
      <c r="S52" s="28" t="str">
        <f t="shared" si="9"/>
        <v/>
      </c>
      <c r="T52" s="28" t="str">
        <f t="shared" si="10"/>
        <v/>
      </c>
      <c r="U52" s="28" t="str">
        <f t="shared" si="11"/>
        <v/>
      </c>
      <c r="V52" s="28" t="str">
        <f t="shared" si="12"/>
        <v/>
      </c>
    </row>
    <row r="53" spans="1:22" s="9" customFormat="1">
      <c r="A53" s="35" t="s">
        <v>59</v>
      </c>
      <c r="B53" s="35" t="s">
        <v>138</v>
      </c>
      <c r="C53" s="39" t="s">
        <v>61</v>
      </c>
      <c r="D53" s="15"/>
      <c r="E53" s="15"/>
      <c r="F53" s="15"/>
      <c r="G53" s="21" t="str">
        <f t="shared" si="1"/>
        <v/>
      </c>
      <c r="H53" s="21" t="str">
        <f t="shared" si="2"/>
        <v/>
      </c>
      <c r="I53" s="16"/>
      <c r="J53" s="28" t="str">
        <f t="shared" si="3"/>
        <v/>
      </c>
      <c r="K53" s="28" t="str">
        <f t="shared" si="4"/>
        <v/>
      </c>
      <c r="L53" s="30"/>
      <c r="M53" s="28" t="str">
        <f t="shared" si="5"/>
        <v/>
      </c>
      <c r="N53" s="28" t="str">
        <f t="shared" si="6"/>
        <v/>
      </c>
      <c r="O53" s="30"/>
      <c r="P53" s="28" t="str">
        <f t="shared" si="7"/>
        <v/>
      </c>
      <c r="Q53" s="28" t="str">
        <f t="shared" si="8"/>
        <v/>
      </c>
      <c r="R53" s="30"/>
      <c r="S53" s="28" t="str">
        <f t="shared" si="9"/>
        <v/>
      </c>
      <c r="T53" s="28" t="str">
        <f t="shared" si="10"/>
        <v/>
      </c>
      <c r="U53" s="28" t="str">
        <f t="shared" si="11"/>
        <v/>
      </c>
      <c r="V53" s="28" t="str">
        <f t="shared" si="12"/>
        <v/>
      </c>
    </row>
    <row r="54" spans="1:22" s="9" customFormat="1">
      <c r="A54" s="35" t="s">
        <v>62</v>
      </c>
      <c r="B54" s="35" t="s">
        <v>139</v>
      </c>
      <c r="C54" s="39" t="s">
        <v>64</v>
      </c>
      <c r="D54" s="15"/>
      <c r="E54" s="15"/>
      <c r="F54" s="15"/>
      <c r="G54" s="21" t="str">
        <f t="shared" si="1"/>
        <v/>
      </c>
      <c r="H54" s="21" t="str">
        <f t="shared" si="2"/>
        <v/>
      </c>
      <c r="I54" s="16"/>
      <c r="J54" s="28" t="str">
        <f t="shared" si="3"/>
        <v/>
      </c>
      <c r="K54" s="28" t="str">
        <f t="shared" si="4"/>
        <v/>
      </c>
      <c r="L54" s="30"/>
      <c r="M54" s="28" t="str">
        <f t="shared" si="5"/>
        <v/>
      </c>
      <c r="N54" s="28" t="str">
        <f t="shared" si="6"/>
        <v/>
      </c>
      <c r="O54" s="30"/>
      <c r="P54" s="28" t="str">
        <f t="shared" si="7"/>
        <v/>
      </c>
      <c r="Q54" s="28" t="str">
        <f t="shared" si="8"/>
        <v/>
      </c>
      <c r="R54" s="30"/>
      <c r="S54" s="28" t="str">
        <f t="shared" si="9"/>
        <v/>
      </c>
      <c r="T54" s="28" t="str">
        <f t="shared" si="10"/>
        <v/>
      </c>
      <c r="U54" s="28" t="str">
        <f t="shared" si="11"/>
        <v/>
      </c>
      <c r="V54" s="28" t="str">
        <f t="shared" si="12"/>
        <v/>
      </c>
    </row>
    <row r="55" spans="1:22" s="9" customFormat="1" ht="31.5">
      <c r="A55" s="35" t="s">
        <v>65</v>
      </c>
      <c r="B55" s="35" t="s">
        <v>140</v>
      </c>
      <c r="C55" s="39" t="s">
        <v>141</v>
      </c>
      <c r="D55" s="15"/>
      <c r="E55" s="15"/>
      <c r="F55" s="15"/>
      <c r="G55" s="21" t="str">
        <f t="shared" si="1"/>
        <v/>
      </c>
      <c r="H55" s="21" t="str">
        <f t="shared" si="2"/>
        <v/>
      </c>
      <c r="I55" s="16"/>
      <c r="J55" s="28" t="str">
        <f t="shared" si="3"/>
        <v/>
      </c>
      <c r="K55" s="28" t="str">
        <f t="shared" si="4"/>
        <v/>
      </c>
      <c r="L55" s="30"/>
      <c r="M55" s="28" t="str">
        <f t="shared" si="5"/>
        <v/>
      </c>
      <c r="N55" s="28" t="str">
        <f t="shared" si="6"/>
        <v/>
      </c>
      <c r="O55" s="30"/>
      <c r="P55" s="28" t="str">
        <f t="shared" si="7"/>
        <v/>
      </c>
      <c r="Q55" s="28" t="str">
        <f t="shared" si="8"/>
        <v/>
      </c>
      <c r="R55" s="30"/>
      <c r="S55" s="28" t="str">
        <f t="shared" si="9"/>
        <v/>
      </c>
      <c r="T55" s="28" t="str">
        <f t="shared" si="10"/>
        <v/>
      </c>
      <c r="U55" s="28" t="str">
        <f t="shared" si="11"/>
        <v/>
      </c>
      <c r="V55" s="28" t="str">
        <f t="shared" si="12"/>
        <v/>
      </c>
    </row>
    <row r="56" spans="1:22" s="9" customFormat="1" ht="31.5">
      <c r="A56" s="35" t="s">
        <v>68</v>
      </c>
      <c r="B56" s="35" t="s">
        <v>142</v>
      </c>
      <c r="C56" s="39" t="s">
        <v>73</v>
      </c>
      <c r="D56" s="15"/>
      <c r="E56" s="15"/>
      <c r="F56" s="15"/>
      <c r="G56" s="21" t="str">
        <f t="shared" si="1"/>
        <v/>
      </c>
      <c r="H56" s="21" t="str">
        <f t="shared" si="2"/>
        <v/>
      </c>
      <c r="I56" s="16"/>
      <c r="J56" s="28" t="str">
        <f t="shared" si="3"/>
        <v/>
      </c>
      <c r="K56" s="28" t="str">
        <f t="shared" si="4"/>
        <v/>
      </c>
      <c r="L56" s="30"/>
      <c r="M56" s="28" t="str">
        <f t="shared" si="5"/>
        <v/>
      </c>
      <c r="N56" s="28" t="str">
        <f t="shared" si="6"/>
        <v/>
      </c>
      <c r="O56" s="30"/>
      <c r="P56" s="28" t="str">
        <f t="shared" si="7"/>
        <v/>
      </c>
      <c r="Q56" s="28" t="str">
        <f t="shared" si="8"/>
        <v/>
      </c>
      <c r="R56" s="30"/>
      <c r="S56" s="28" t="str">
        <f t="shared" si="9"/>
        <v/>
      </c>
      <c r="T56" s="28" t="str">
        <f t="shared" si="10"/>
        <v/>
      </c>
      <c r="U56" s="28" t="str">
        <f t="shared" si="11"/>
        <v/>
      </c>
      <c r="V56" s="28" t="str">
        <f t="shared" si="12"/>
        <v/>
      </c>
    </row>
    <row r="57" spans="1:22" s="9" customFormat="1">
      <c r="A57" s="35" t="s">
        <v>71</v>
      </c>
      <c r="B57" s="35" t="s">
        <v>143</v>
      </c>
      <c r="C57" s="39" t="s">
        <v>76</v>
      </c>
      <c r="D57" s="15"/>
      <c r="E57" s="15"/>
      <c r="F57" s="15"/>
      <c r="G57" s="21" t="str">
        <f t="shared" si="1"/>
        <v/>
      </c>
      <c r="H57" s="21" t="str">
        <f t="shared" si="2"/>
        <v/>
      </c>
      <c r="I57" s="16"/>
      <c r="J57" s="28" t="str">
        <f t="shared" si="3"/>
        <v/>
      </c>
      <c r="K57" s="28" t="str">
        <f t="shared" si="4"/>
        <v/>
      </c>
      <c r="L57" s="30"/>
      <c r="M57" s="28" t="str">
        <f t="shared" si="5"/>
        <v/>
      </c>
      <c r="N57" s="28" t="str">
        <f t="shared" si="6"/>
        <v/>
      </c>
      <c r="O57" s="30"/>
      <c r="P57" s="28" t="str">
        <f t="shared" si="7"/>
        <v/>
      </c>
      <c r="Q57" s="28" t="str">
        <f t="shared" si="8"/>
        <v/>
      </c>
      <c r="R57" s="30"/>
      <c r="S57" s="28" t="str">
        <f t="shared" si="9"/>
        <v/>
      </c>
      <c r="T57" s="28" t="str">
        <f t="shared" si="10"/>
        <v/>
      </c>
      <c r="U57" s="28" t="str">
        <f t="shared" si="11"/>
        <v/>
      </c>
      <c r="V57" s="28" t="str">
        <f t="shared" si="12"/>
        <v/>
      </c>
    </row>
    <row r="58" spans="1:22" s="7" customFormat="1">
      <c r="A58" s="35" t="s">
        <v>74</v>
      </c>
      <c r="B58" s="35" t="s">
        <v>144</v>
      </c>
      <c r="C58" s="39" t="s">
        <v>79</v>
      </c>
      <c r="D58" s="15"/>
      <c r="E58" s="15"/>
      <c r="F58" s="15"/>
      <c r="G58" s="21" t="str">
        <f t="shared" si="1"/>
        <v/>
      </c>
      <c r="H58" s="21" t="str">
        <f t="shared" si="2"/>
        <v/>
      </c>
      <c r="I58" s="16"/>
      <c r="J58" s="28" t="str">
        <f t="shared" si="3"/>
        <v/>
      </c>
      <c r="K58" s="28" t="str">
        <f t="shared" si="4"/>
        <v/>
      </c>
      <c r="L58" s="30"/>
      <c r="M58" s="28" t="str">
        <f t="shared" si="5"/>
        <v/>
      </c>
      <c r="N58" s="28" t="str">
        <f t="shared" si="6"/>
        <v/>
      </c>
      <c r="O58" s="30"/>
      <c r="P58" s="28" t="str">
        <f t="shared" si="7"/>
        <v/>
      </c>
      <c r="Q58" s="28" t="str">
        <f t="shared" si="8"/>
        <v/>
      </c>
      <c r="R58" s="30"/>
      <c r="S58" s="28" t="str">
        <f t="shared" si="9"/>
        <v/>
      </c>
      <c r="T58" s="28" t="str">
        <f t="shared" si="10"/>
        <v/>
      </c>
      <c r="U58" s="28" t="str">
        <f t="shared" si="11"/>
        <v/>
      </c>
      <c r="V58" s="28" t="str">
        <f t="shared" si="12"/>
        <v/>
      </c>
    </row>
    <row r="59" spans="1:22" s="7" customFormat="1">
      <c r="A59" s="35" t="s">
        <v>77</v>
      </c>
      <c r="B59" s="35" t="s">
        <v>145</v>
      </c>
      <c r="C59" s="39" t="s">
        <v>85</v>
      </c>
      <c r="D59" s="15"/>
      <c r="E59" s="15"/>
      <c r="F59" s="15"/>
      <c r="G59" s="21" t="str">
        <f t="shared" si="1"/>
        <v/>
      </c>
      <c r="H59" s="21" t="str">
        <f t="shared" si="2"/>
        <v/>
      </c>
      <c r="I59" s="16"/>
      <c r="J59" s="28" t="str">
        <f t="shared" si="3"/>
        <v/>
      </c>
      <c r="K59" s="28" t="str">
        <f t="shared" si="4"/>
        <v/>
      </c>
      <c r="L59" s="30"/>
      <c r="M59" s="28" t="str">
        <f t="shared" si="5"/>
        <v/>
      </c>
      <c r="N59" s="28" t="str">
        <f t="shared" si="6"/>
        <v/>
      </c>
      <c r="O59" s="30"/>
      <c r="P59" s="28" t="str">
        <f t="shared" si="7"/>
        <v/>
      </c>
      <c r="Q59" s="28" t="str">
        <f t="shared" si="8"/>
        <v/>
      </c>
      <c r="R59" s="30"/>
      <c r="S59" s="28" t="str">
        <f t="shared" si="9"/>
        <v/>
      </c>
      <c r="T59" s="28" t="str">
        <f t="shared" si="10"/>
        <v/>
      </c>
      <c r="U59" s="28" t="str">
        <f t="shared" si="11"/>
        <v/>
      </c>
      <c r="V59" s="28" t="str">
        <f t="shared" si="12"/>
        <v/>
      </c>
    </row>
    <row r="60" spans="1:22" s="7" customFormat="1">
      <c r="A60" s="35" t="s">
        <v>80</v>
      </c>
      <c r="B60" s="35" t="s">
        <v>146</v>
      </c>
      <c r="C60" s="39" t="s">
        <v>88</v>
      </c>
      <c r="D60" s="15"/>
      <c r="E60" s="15"/>
      <c r="F60" s="15"/>
      <c r="G60" s="21" t="str">
        <f t="shared" si="1"/>
        <v/>
      </c>
      <c r="H60" s="21" t="str">
        <f t="shared" si="2"/>
        <v/>
      </c>
      <c r="I60" s="16"/>
      <c r="J60" s="28" t="str">
        <f t="shared" si="3"/>
        <v/>
      </c>
      <c r="K60" s="28" t="str">
        <f t="shared" si="4"/>
        <v/>
      </c>
      <c r="L60" s="30"/>
      <c r="M60" s="28" t="str">
        <f t="shared" si="5"/>
        <v/>
      </c>
      <c r="N60" s="28" t="str">
        <f t="shared" si="6"/>
        <v/>
      </c>
      <c r="O60" s="30"/>
      <c r="P60" s="28" t="str">
        <f t="shared" si="7"/>
        <v/>
      </c>
      <c r="Q60" s="28" t="str">
        <f t="shared" si="8"/>
        <v/>
      </c>
      <c r="R60" s="30"/>
      <c r="S60" s="28" t="str">
        <f t="shared" si="9"/>
        <v/>
      </c>
      <c r="T60" s="28" t="str">
        <f t="shared" si="10"/>
        <v/>
      </c>
      <c r="U60" s="28" t="str">
        <f t="shared" si="11"/>
        <v/>
      </c>
      <c r="V60" s="28" t="str">
        <f t="shared" si="12"/>
        <v/>
      </c>
    </row>
    <row r="61" spans="1:22" s="7" customFormat="1">
      <c r="A61" s="35" t="s">
        <v>83</v>
      </c>
      <c r="B61" s="35" t="s">
        <v>147</v>
      </c>
      <c r="C61" s="39" t="s">
        <v>91</v>
      </c>
      <c r="D61" s="15"/>
      <c r="E61" s="15"/>
      <c r="F61" s="15"/>
      <c r="G61" s="21" t="str">
        <f t="shared" si="1"/>
        <v/>
      </c>
      <c r="H61" s="21" t="str">
        <f t="shared" si="2"/>
        <v/>
      </c>
      <c r="I61" s="16"/>
      <c r="J61" s="28" t="str">
        <f t="shared" si="3"/>
        <v/>
      </c>
      <c r="K61" s="28" t="str">
        <f t="shared" si="4"/>
        <v/>
      </c>
      <c r="L61" s="30"/>
      <c r="M61" s="28" t="str">
        <f t="shared" si="5"/>
        <v/>
      </c>
      <c r="N61" s="28" t="str">
        <f t="shared" si="6"/>
        <v/>
      </c>
      <c r="O61" s="30"/>
      <c r="P61" s="28" t="str">
        <f t="shared" si="7"/>
        <v/>
      </c>
      <c r="Q61" s="28" t="str">
        <f t="shared" si="8"/>
        <v/>
      </c>
      <c r="R61" s="30"/>
      <c r="S61" s="28" t="str">
        <f t="shared" si="9"/>
        <v/>
      </c>
      <c r="T61" s="28" t="str">
        <f t="shared" si="10"/>
        <v/>
      </c>
      <c r="U61" s="28" t="str">
        <f t="shared" si="11"/>
        <v/>
      </c>
      <c r="V61" s="28" t="str">
        <f t="shared" si="12"/>
        <v/>
      </c>
    </row>
    <row r="62" spans="1:22" s="7" customFormat="1">
      <c r="A62" s="36" t="s">
        <v>92</v>
      </c>
      <c r="B62" s="35" t="s">
        <v>148</v>
      </c>
      <c r="C62" s="40" t="s">
        <v>94</v>
      </c>
      <c r="D62" s="15"/>
      <c r="E62" s="15"/>
      <c r="F62" s="15"/>
      <c r="G62" s="21" t="str">
        <f t="shared" si="1"/>
        <v/>
      </c>
      <c r="H62" s="21" t="str">
        <f t="shared" si="2"/>
        <v/>
      </c>
      <c r="I62" s="16"/>
      <c r="J62" s="28" t="str">
        <f t="shared" si="3"/>
        <v/>
      </c>
      <c r="K62" s="28" t="str">
        <f t="shared" si="4"/>
        <v/>
      </c>
      <c r="L62" s="30"/>
      <c r="M62" s="28" t="str">
        <f t="shared" si="5"/>
        <v/>
      </c>
      <c r="N62" s="28" t="str">
        <f t="shared" si="6"/>
        <v/>
      </c>
      <c r="O62" s="30"/>
      <c r="P62" s="28" t="str">
        <f t="shared" si="7"/>
        <v/>
      </c>
      <c r="Q62" s="28" t="str">
        <f t="shared" si="8"/>
        <v/>
      </c>
      <c r="R62" s="30"/>
      <c r="S62" s="28" t="str">
        <f t="shared" si="9"/>
        <v/>
      </c>
      <c r="T62" s="28" t="str">
        <f t="shared" si="10"/>
        <v/>
      </c>
      <c r="U62" s="28" t="str">
        <f t="shared" si="11"/>
        <v/>
      </c>
      <c r="V62" s="28" t="str">
        <f t="shared" si="12"/>
        <v/>
      </c>
    </row>
    <row r="63" spans="1:22" s="7" customFormat="1">
      <c r="A63" s="36" t="s">
        <v>92</v>
      </c>
      <c r="B63" s="35" t="s">
        <v>149</v>
      </c>
      <c r="C63" s="40" t="s">
        <v>96</v>
      </c>
      <c r="D63" s="20">
        <f>D61-D62</f>
        <v>0</v>
      </c>
      <c r="E63" s="20">
        <f t="shared" ref="E63:F63" si="38">E61-E62</f>
        <v>0</v>
      </c>
      <c r="F63" s="20">
        <f t="shared" si="38"/>
        <v>0</v>
      </c>
      <c r="G63" s="27" t="str">
        <f t="shared" si="1"/>
        <v/>
      </c>
      <c r="H63" s="27" t="str">
        <f t="shared" si="2"/>
        <v/>
      </c>
      <c r="I63" s="20">
        <f t="shared" ref="I63" si="39">I61-I62</f>
        <v>0</v>
      </c>
      <c r="J63" s="27" t="str">
        <f t="shared" si="3"/>
        <v/>
      </c>
      <c r="K63" s="27" t="str">
        <f t="shared" si="4"/>
        <v/>
      </c>
      <c r="L63" s="20">
        <f t="shared" ref="L63" si="40">L61-L62</f>
        <v>0</v>
      </c>
      <c r="M63" s="27" t="str">
        <f t="shared" si="5"/>
        <v/>
      </c>
      <c r="N63" s="27" t="str">
        <f t="shared" si="6"/>
        <v/>
      </c>
      <c r="O63" s="20">
        <f t="shared" ref="O63" si="41">O61-O62</f>
        <v>0</v>
      </c>
      <c r="P63" s="27" t="str">
        <f t="shared" si="7"/>
        <v/>
      </c>
      <c r="Q63" s="27" t="str">
        <f t="shared" si="8"/>
        <v/>
      </c>
      <c r="R63" s="20">
        <f t="shared" ref="R63" si="42">R61-R62</f>
        <v>0</v>
      </c>
      <c r="S63" s="27" t="str">
        <f t="shared" si="9"/>
        <v/>
      </c>
      <c r="T63" s="27" t="str">
        <f t="shared" si="10"/>
        <v/>
      </c>
      <c r="U63" s="27" t="str">
        <f t="shared" si="11"/>
        <v/>
      </c>
      <c r="V63" s="27" t="str">
        <f t="shared" si="12"/>
        <v/>
      </c>
    </row>
    <row r="64" spans="1:22" s="7" customFormat="1" ht="31.5">
      <c r="A64" s="35" t="s">
        <v>86</v>
      </c>
      <c r="B64" s="35" t="s">
        <v>150</v>
      </c>
      <c r="C64" s="39" t="s">
        <v>99</v>
      </c>
      <c r="D64" s="15"/>
      <c r="E64" s="15"/>
      <c r="F64" s="15"/>
      <c r="G64" s="21" t="str">
        <f t="shared" si="1"/>
        <v/>
      </c>
      <c r="H64" s="21" t="str">
        <f t="shared" si="2"/>
        <v/>
      </c>
      <c r="I64" s="16"/>
      <c r="J64" s="28" t="str">
        <f t="shared" si="3"/>
        <v/>
      </c>
      <c r="K64" s="28" t="str">
        <f t="shared" si="4"/>
        <v/>
      </c>
      <c r="L64" s="30"/>
      <c r="M64" s="28" t="str">
        <f t="shared" si="5"/>
        <v/>
      </c>
      <c r="N64" s="28" t="str">
        <f t="shared" si="6"/>
        <v/>
      </c>
      <c r="O64" s="30"/>
      <c r="P64" s="28" t="str">
        <f t="shared" si="7"/>
        <v/>
      </c>
      <c r="Q64" s="28" t="str">
        <f t="shared" si="8"/>
        <v/>
      </c>
      <c r="R64" s="30"/>
      <c r="S64" s="28" t="str">
        <f t="shared" si="9"/>
        <v/>
      </c>
      <c r="T64" s="28" t="str">
        <f t="shared" si="10"/>
        <v/>
      </c>
      <c r="U64" s="28" t="str">
        <f t="shared" si="11"/>
        <v/>
      </c>
      <c r="V64" s="28" t="str">
        <f t="shared" si="12"/>
        <v/>
      </c>
    </row>
    <row r="65" spans="1:22" s="7" customFormat="1">
      <c r="A65" s="35" t="s">
        <v>89</v>
      </c>
      <c r="B65" s="35" t="s">
        <v>151</v>
      </c>
      <c r="C65" s="39" t="s">
        <v>133</v>
      </c>
      <c r="D65" s="15"/>
      <c r="E65" s="15"/>
      <c r="F65" s="15"/>
      <c r="G65" s="21" t="str">
        <f t="shared" si="1"/>
        <v/>
      </c>
      <c r="H65" s="21" t="str">
        <f t="shared" si="2"/>
        <v/>
      </c>
      <c r="I65" s="16"/>
      <c r="J65" s="28" t="str">
        <f t="shared" si="3"/>
        <v/>
      </c>
      <c r="K65" s="28" t="str">
        <f t="shared" si="4"/>
        <v/>
      </c>
      <c r="L65" s="30"/>
      <c r="M65" s="28" t="str">
        <f t="shared" si="5"/>
        <v/>
      </c>
      <c r="N65" s="28" t="str">
        <f t="shared" si="6"/>
        <v/>
      </c>
      <c r="O65" s="30"/>
      <c r="P65" s="28" t="str">
        <f t="shared" si="7"/>
        <v/>
      </c>
      <c r="Q65" s="28" t="str">
        <f t="shared" si="8"/>
        <v/>
      </c>
      <c r="R65" s="30"/>
      <c r="S65" s="28" t="str">
        <f t="shared" si="9"/>
        <v/>
      </c>
      <c r="T65" s="28" t="str">
        <f t="shared" si="10"/>
        <v/>
      </c>
      <c r="U65" s="28" t="str">
        <f t="shared" si="11"/>
        <v/>
      </c>
      <c r="V65" s="28" t="str">
        <f t="shared" si="12"/>
        <v/>
      </c>
    </row>
    <row r="66" spans="1:22" s="7" customFormat="1">
      <c r="A66" s="34" t="s">
        <v>152</v>
      </c>
      <c r="B66" s="35" t="s">
        <v>153</v>
      </c>
      <c r="C66" s="38" t="s">
        <v>154</v>
      </c>
      <c r="D66" s="15"/>
      <c r="E66" s="15"/>
      <c r="F66" s="15"/>
      <c r="G66" s="21" t="str">
        <f t="shared" si="1"/>
        <v/>
      </c>
      <c r="H66" s="21" t="str">
        <f t="shared" si="2"/>
        <v/>
      </c>
      <c r="I66" s="16"/>
      <c r="J66" s="28" t="str">
        <f t="shared" si="3"/>
        <v/>
      </c>
      <c r="K66" s="28" t="str">
        <f t="shared" si="4"/>
        <v/>
      </c>
      <c r="L66" s="30"/>
      <c r="M66" s="28" t="str">
        <f t="shared" si="5"/>
        <v/>
      </c>
      <c r="N66" s="28" t="str">
        <f t="shared" si="6"/>
        <v/>
      </c>
      <c r="O66" s="30"/>
      <c r="P66" s="28" t="str">
        <f t="shared" si="7"/>
        <v/>
      </c>
      <c r="Q66" s="28" t="str">
        <f t="shared" si="8"/>
        <v/>
      </c>
      <c r="R66" s="30"/>
      <c r="S66" s="28" t="str">
        <f t="shared" si="9"/>
        <v/>
      </c>
      <c r="T66" s="28" t="str">
        <f t="shared" si="10"/>
        <v/>
      </c>
      <c r="U66" s="28" t="str">
        <f t="shared" si="11"/>
        <v/>
      </c>
      <c r="V66" s="28" t="str">
        <f t="shared" si="12"/>
        <v/>
      </c>
    </row>
    <row r="67" spans="1:22" s="7" customFormat="1">
      <c r="A67" s="34" t="s">
        <v>155</v>
      </c>
      <c r="B67" s="35" t="s">
        <v>156</v>
      </c>
      <c r="C67" s="38" t="s">
        <v>157</v>
      </c>
      <c r="D67" s="15"/>
      <c r="E67" s="15"/>
      <c r="F67" s="15"/>
      <c r="G67" s="21" t="str">
        <f t="shared" si="1"/>
        <v/>
      </c>
      <c r="H67" s="21" t="str">
        <f t="shared" si="2"/>
        <v/>
      </c>
      <c r="I67" s="16"/>
      <c r="J67" s="28" t="str">
        <f t="shared" si="3"/>
        <v/>
      </c>
      <c r="K67" s="28" t="str">
        <f t="shared" si="4"/>
        <v/>
      </c>
      <c r="L67" s="30"/>
      <c r="M67" s="28" t="str">
        <f t="shared" si="5"/>
        <v/>
      </c>
      <c r="N67" s="28" t="str">
        <f t="shared" si="6"/>
        <v/>
      </c>
      <c r="O67" s="30"/>
      <c r="P67" s="28" t="str">
        <f t="shared" si="7"/>
        <v/>
      </c>
      <c r="Q67" s="28" t="str">
        <f t="shared" si="8"/>
        <v/>
      </c>
      <c r="R67" s="30"/>
      <c r="S67" s="28" t="str">
        <f t="shared" si="9"/>
        <v/>
      </c>
      <c r="T67" s="28" t="str">
        <f t="shared" si="10"/>
        <v/>
      </c>
      <c r="U67" s="28" t="str">
        <f t="shared" si="11"/>
        <v/>
      </c>
      <c r="V67" s="28" t="str">
        <f t="shared" si="12"/>
        <v/>
      </c>
    </row>
    <row r="68" spans="1:22" s="7" customFormat="1">
      <c r="A68" s="35" t="s">
        <v>35</v>
      </c>
      <c r="B68" s="35" t="s">
        <v>158</v>
      </c>
      <c r="C68" s="39" t="s">
        <v>159</v>
      </c>
      <c r="D68" s="15"/>
      <c r="E68" s="15"/>
      <c r="F68" s="15"/>
      <c r="G68" s="21" t="str">
        <f t="shared" si="1"/>
        <v/>
      </c>
      <c r="H68" s="21" t="str">
        <f t="shared" si="2"/>
        <v/>
      </c>
      <c r="I68" s="16"/>
      <c r="J68" s="28" t="str">
        <f t="shared" si="3"/>
        <v/>
      </c>
      <c r="K68" s="28" t="str">
        <f t="shared" si="4"/>
        <v/>
      </c>
      <c r="L68" s="30"/>
      <c r="M68" s="28" t="str">
        <f t="shared" si="5"/>
        <v/>
      </c>
      <c r="N68" s="28" t="str">
        <f t="shared" si="6"/>
        <v/>
      </c>
      <c r="O68" s="30"/>
      <c r="P68" s="28" t="str">
        <f t="shared" si="7"/>
        <v/>
      </c>
      <c r="Q68" s="28" t="str">
        <f t="shared" si="8"/>
        <v/>
      </c>
      <c r="R68" s="30"/>
      <c r="S68" s="28" t="str">
        <f t="shared" si="9"/>
        <v/>
      </c>
      <c r="T68" s="28" t="str">
        <f t="shared" si="10"/>
        <v/>
      </c>
      <c r="U68" s="28" t="str">
        <f t="shared" si="11"/>
        <v/>
      </c>
      <c r="V68" s="28" t="str">
        <f t="shared" si="12"/>
        <v/>
      </c>
    </row>
    <row r="69" spans="1:22" s="7" customFormat="1">
      <c r="A69" s="35" t="s">
        <v>38</v>
      </c>
      <c r="B69" s="35" t="s">
        <v>160</v>
      </c>
      <c r="C69" s="39" t="s">
        <v>161</v>
      </c>
      <c r="D69" s="15"/>
      <c r="E69" s="15"/>
      <c r="F69" s="15"/>
      <c r="G69" s="21" t="str">
        <f t="shared" si="1"/>
        <v/>
      </c>
      <c r="H69" s="21" t="str">
        <f t="shared" si="2"/>
        <v/>
      </c>
      <c r="I69" s="16"/>
      <c r="J69" s="28" t="str">
        <f t="shared" si="3"/>
        <v/>
      </c>
      <c r="K69" s="28" t="str">
        <f t="shared" si="4"/>
        <v/>
      </c>
      <c r="L69" s="30"/>
      <c r="M69" s="28" t="str">
        <f t="shared" si="5"/>
        <v/>
      </c>
      <c r="N69" s="28" t="str">
        <f t="shared" si="6"/>
        <v/>
      </c>
      <c r="O69" s="30"/>
      <c r="P69" s="28" t="str">
        <f t="shared" si="7"/>
        <v/>
      </c>
      <c r="Q69" s="28" t="str">
        <f t="shared" si="8"/>
        <v/>
      </c>
      <c r="R69" s="30"/>
      <c r="S69" s="28" t="str">
        <f t="shared" si="9"/>
        <v/>
      </c>
      <c r="T69" s="28" t="str">
        <f t="shared" si="10"/>
        <v/>
      </c>
      <c r="U69" s="28" t="str">
        <f t="shared" si="11"/>
        <v/>
      </c>
      <c r="V69" s="28" t="str">
        <f t="shared" si="12"/>
        <v/>
      </c>
    </row>
    <row r="70" spans="1:22" s="7" customFormat="1">
      <c r="A70" s="36" t="s">
        <v>92</v>
      </c>
      <c r="B70" s="35" t="s">
        <v>162</v>
      </c>
      <c r="C70" s="40" t="s">
        <v>163</v>
      </c>
      <c r="D70" s="15"/>
      <c r="E70" s="15"/>
      <c r="F70" s="15"/>
      <c r="G70" s="21" t="str">
        <f t="shared" si="1"/>
        <v/>
      </c>
      <c r="H70" s="21" t="str">
        <f t="shared" si="2"/>
        <v/>
      </c>
      <c r="I70" s="16"/>
      <c r="J70" s="28" t="str">
        <f t="shared" si="3"/>
        <v/>
      </c>
      <c r="K70" s="28" t="str">
        <f t="shared" si="4"/>
        <v/>
      </c>
      <c r="L70" s="30"/>
      <c r="M70" s="28" t="str">
        <f t="shared" si="5"/>
        <v/>
      </c>
      <c r="N70" s="28" t="str">
        <f t="shared" si="6"/>
        <v/>
      </c>
      <c r="O70" s="30"/>
      <c r="P70" s="28" t="str">
        <f t="shared" si="7"/>
        <v/>
      </c>
      <c r="Q70" s="28" t="str">
        <f t="shared" si="8"/>
        <v/>
      </c>
      <c r="R70" s="30"/>
      <c r="S70" s="28" t="str">
        <f t="shared" si="9"/>
        <v/>
      </c>
      <c r="T70" s="28" t="str">
        <f t="shared" si="10"/>
        <v/>
      </c>
      <c r="U70" s="28" t="str">
        <f t="shared" si="11"/>
        <v/>
      </c>
      <c r="V70" s="28" t="str">
        <f t="shared" si="12"/>
        <v/>
      </c>
    </row>
    <row r="71" spans="1:22" s="7" customFormat="1">
      <c r="A71" s="35" t="s">
        <v>59</v>
      </c>
      <c r="B71" s="35" t="s">
        <v>164</v>
      </c>
      <c r="C71" s="39" t="s">
        <v>165</v>
      </c>
      <c r="D71" s="15"/>
      <c r="E71" s="15"/>
      <c r="F71" s="15"/>
      <c r="G71" s="21" t="str">
        <f t="shared" si="1"/>
        <v/>
      </c>
      <c r="H71" s="21" t="str">
        <f t="shared" si="2"/>
        <v/>
      </c>
      <c r="I71" s="16"/>
      <c r="J71" s="28" t="str">
        <f t="shared" si="3"/>
        <v/>
      </c>
      <c r="K71" s="28" t="str">
        <f t="shared" si="4"/>
        <v/>
      </c>
      <c r="L71" s="30"/>
      <c r="M71" s="28" t="str">
        <f t="shared" si="5"/>
        <v/>
      </c>
      <c r="N71" s="28" t="str">
        <f t="shared" si="6"/>
        <v/>
      </c>
      <c r="O71" s="30"/>
      <c r="P71" s="28" t="str">
        <f t="shared" si="7"/>
        <v/>
      </c>
      <c r="Q71" s="28" t="str">
        <f t="shared" si="8"/>
        <v/>
      </c>
      <c r="R71" s="30"/>
      <c r="S71" s="28" t="str">
        <f t="shared" si="9"/>
        <v/>
      </c>
      <c r="T71" s="28" t="str">
        <f t="shared" si="10"/>
        <v/>
      </c>
      <c r="U71" s="28" t="str">
        <f t="shared" si="11"/>
        <v/>
      </c>
      <c r="V71" s="28" t="str">
        <f t="shared" si="12"/>
        <v/>
      </c>
    </row>
    <row r="72" spans="1:22" s="7" customFormat="1">
      <c r="A72" s="36" t="s">
        <v>92</v>
      </c>
      <c r="B72" s="35" t="s">
        <v>166</v>
      </c>
      <c r="C72" s="40" t="s">
        <v>167</v>
      </c>
      <c r="D72" s="15"/>
      <c r="E72" s="15"/>
      <c r="F72" s="15"/>
      <c r="G72" s="21" t="str">
        <f t="shared" si="1"/>
        <v/>
      </c>
      <c r="H72" s="21" t="str">
        <f t="shared" si="2"/>
        <v/>
      </c>
      <c r="I72" s="16"/>
      <c r="J72" s="28" t="str">
        <f t="shared" si="3"/>
        <v/>
      </c>
      <c r="K72" s="28" t="str">
        <f t="shared" si="4"/>
        <v/>
      </c>
      <c r="L72" s="30"/>
      <c r="M72" s="28" t="str">
        <f t="shared" si="5"/>
        <v/>
      </c>
      <c r="N72" s="28" t="str">
        <f t="shared" si="6"/>
        <v/>
      </c>
      <c r="O72" s="30"/>
      <c r="P72" s="28" t="str">
        <f t="shared" si="7"/>
        <v/>
      </c>
      <c r="Q72" s="28" t="str">
        <f t="shared" si="8"/>
        <v/>
      </c>
      <c r="R72" s="30"/>
      <c r="S72" s="28" t="str">
        <f t="shared" si="9"/>
        <v/>
      </c>
      <c r="T72" s="28" t="str">
        <f t="shared" si="10"/>
        <v/>
      </c>
      <c r="U72" s="28" t="str">
        <f t="shared" si="11"/>
        <v/>
      </c>
      <c r="V72" s="28" t="str">
        <f t="shared" si="12"/>
        <v/>
      </c>
    </row>
    <row r="73" spans="1:22" s="7" customFormat="1">
      <c r="A73" s="35" t="s">
        <v>62</v>
      </c>
      <c r="B73" s="35" t="s">
        <v>168</v>
      </c>
      <c r="C73" s="39" t="s">
        <v>169</v>
      </c>
      <c r="D73" s="15"/>
      <c r="E73" s="15"/>
      <c r="F73" s="15"/>
      <c r="G73" s="21" t="str">
        <f t="shared" si="1"/>
        <v/>
      </c>
      <c r="H73" s="21" t="str">
        <f t="shared" si="2"/>
        <v/>
      </c>
      <c r="I73" s="16"/>
      <c r="J73" s="28" t="str">
        <f t="shared" si="3"/>
        <v/>
      </c>
      <c r="K73" s="28" t="str">
        <f t="shared" si="4"/>
        <v/>
      </c>
      <c r="L73" s="30"/>
      <c r="M73" s="28" t="str">
        <f t="shared" si="5"/>
        <v/>
      </c>
      <c r="N73" s="28" t="str">
        <f t="shared" si="6"/>
        <v/>
      </c>
      <c r="O73" s="30"/>
      <c r="P73" s="28" t="str">
        <f t="shared" si="7"/>
        <v/>
      </c>
      <c r="Q73" s="28" t="str">
        <f t="shared" si="8"/>
        <v/>
      </c>
      <c r="R73" s="30"/>
      <c r="S73" s="28" t="str">
        <f t="shared" si="9"/>
        <v/>
      </c>
      <c r="T73" s="28" t="str">
        <f t="shared" si="10"/>
        <v/>
      </c>
      <c r="U73" s="28" t="str">
        <f t="shared" si="11"/>
        <v/>
      </c>
      <c r="V73" s="28" t="str">
        <f t="shared" si="12"/>
        <v/>
      </c>
    </row>
    <row r="74" spans="1:22" s="7" customFormat="1">
      <c r="A74" s="36" t="s">
        <v>92</v>
      </c>
      <c r="B74" s="35" t="s">
        <v>170</v>
      </c>
      <c r="C74" s="40" t="s">
        <v>171</v>
      </c>
      <c r="D74" s="15"/>
      <c r="E74" s="15"/>
      <c r="F74" s="15"/>
      <c r="G74" s="21" t="str">
        <f t="shared" si="1"/>
        <v/>
      </c>
      <c r="H74" s="21" t="str">
        <f t="shared" si="2"/>
        <v/>
      </c>
      <c r="I74" s="16"/>
      <c r="J74" s="28" t="str">
        <f t="shared" si="3"/>
        <v/>
      </c>
      <c r="K74" s="28" t="str">
        <f t="shared" si="4"/>
        <v/>
      </c>
      <c r="L74" s="30"/>
      <c r="M74" s="28" t="str">
        <f t="shared" si="5"/>
        <v/>
      </c>
      <c r="N74" s="28" t="str">
        <f t="shared" si="6"/>
        <v/>
      </c>
      <c r="O74" s="30"/>
      <c r="P74" s="28" t="str">
        <f t="shared" si="7"/>
        <v/>
      </c>
      <c r="Q74" s="28" t="str">
        <f t="shared" si="8"/>
        <v/>
      </c>
      <c r="R74" s="30"/>
      <c r="S74" s="28" t="str">
        <f t="shared" si="9"/>
        <v/>
      </c>
      <c r="T74" s="28" t="str">
        <f t="shared" si="10"/>
        <v/>
      </c>
      <c r="U74" s="28" t="str">
        <f t="shared" si="11"/>
        <v/>
      </c>
      <c r="V74" s="28" t="str">
        <f t="shared" si="12"/>
        <v/>
      </c>
    </row>
    <row r="75" spans="1:22" s="7" customFormat="1">
      <c r="A75" s="35" t="s">
        <v>65</v>
      </c>
      <c r="B75" s="35" t="s">
        <v>172</v>
      </c>
      <c r="C75" s="39" t="s">
        <v>173</v>
      </c>
      <c r="D75" s="15"/>
      <c r="E75" s="15"/>
      <c r="F75" s="15"/>
      <c r="G75" s="21" t="str">
        <f t="shared" si="1"/>
        <v/>
      </c>
      <c r="H75" s="21" t="str">
        <f t="shared" si="2"/>
        <v/>
      </c>
      <c r="I75" s="16"/>
      <c r="J75" s="28" t="str">
        <f t="shared" si="3"/>
        <v/>
      </c>
      <c r="K75" s="28" t="str">
        <f t="shared" si="4"/>
        <v/>
      </c>
      <c r="L75" s="30"/>
      <c r="M75" s="28" t="str">
        <f t="shared" si="5"/>
        <v/>
      </c>
      <c r="N75" s="28" t="str">
        <f t="shared" si="6"/>
        <v/>
      </c>
      <c r="O75" s="30"/>
      <c r="P75" s="28" t="str">
        <f t="shared" si="7"/>
        <v/>
      </c>
      <c r="Q75" s="28" t="str">
        <f t="shared" si="8"/>
        <v/>
      </c>
      <c r="R75" s="30"/>
      <c r="S75" s="28" t="str">
        <f t="shared" si="9"/>
        <v/>
      </c>
      <c r="T75" s="28" t="str">
        <f t="shared" si="10"/>
        <v/>
      </c>
      <c r="U75" s="28" t="str">
        <f t="shared" si="11"/>
        <v/>
      </c>
      <c r="V75" s="28" t="str">
        <f t="shared" si="12"/>
        <v/>
      </c>
    </row>
    <row r="76" spans="1:22" ht="31.5">
      <c r="A76" s="36" t="s">
        <v>92</v>
      </c>
      <c r="B76" s="35" t="s">
        <v>174</v>
      </c>
      <c r="C76" s="40" t="s">
        <v>175</v>
      </c>
      <c r="D76" s="15"/>
      <c r="E76" s="15"/>
      <c r="F76" s="15"/>
      <c r="G76" s="21" t="str">
        <f t="shared" si="1"/>
        <v/>
      </c>
      <c r="H76" s="21" t="str">
        <f t="shared" si="2"/>
        <v/>
      </c>
      <c r="I76" s="16"/>
      <c r="J76" s="28" t="str">
        <f t="shared" si="3"/>
        <v/>
      </c>
      <c r="K76" s="28" t="str">
        <f t="shared" si="4"/>
        <v/>
      </c>
      <c r="L76" s="30"/>
      <c r="M76" s="28" t="str">
        <f t="shared" si="5"/>
        <v/>
      </c>
      <c r="N76" s="28" t="str">
        <f t="shared" si="6"/>
        <v/>
      </c>
      <c r="O76" s="30"/>
      <c r="P76" s="28" t="str">
        <f t="shared" si="7"/>
        <v/>
      </c>
      <c r="Q76" s="28" t="str">
        <f t="shared" si="8"/>
        <v/>
      </c>
      <c r="R76" s="30"/>
      <c r="S76" s="28" t="str">
        <f t="shared" si="9"/>
        <v/>
      </c>
      <c r="T76" s="28" t="str">
        <f t="shared" si="10"/>
        <v/>
      </c>
      <c r="U76" s="28" t="str">
        <f t="shared" si="11"/>
        <v/>
      </c>
      <c r="V76" s="28" t="str">
        <f t="shared" si="12"/>
        <v/>
      </c>
    </row>
    <row r="77" spans="1:22">
      <c r="A77" s="35" t="s">
        <v>68</v>
      </c>
      <c r="B77" s="35" t="s">
        <v>176</v>
      </c>
      <c r="C77" s="39" t="s">
        <v>177</v>
      </c>
      <c r="D77" s="15"/>
      <c r="E77" s="15"/>
      <c r="F77" s="15"/>
      <c r="G77" s="21" t="str">
        <f t="shared" ref="G77:G86" si="43">IF(OR(E77&lt;&gt;0,F77&lt;&gt;0),F77-E77,"")</f>
        <v/>
      </c>
      <c r="H77" s="21" t="str">
        <f t="shared" ref="H77:H86" si="44">IF(OR(ISBLANK(G77), G77="",AND(E77=0,G77=0)), "", IF(AND(E77=0, G77&gt;0), 100, IF(AND(E77&gt;0, G77=0), 0, ROUND((G77/E77)*100, 3))))</f>
        <v/>
      </c>
      <c r="I77" s="16"/>
      <c r="J77" s="28" t="str">
        <f t="shared" ref="J77:J86" si="45">IF(OR(F77&lt;&gt;0,I77&lt;&gt;0),I77-F77,"")</f>
        <v/>
      </c>
      <c r="K77" s="28" t="str">
        <f t="shared" ref="K77:K86" si="46">IF(OR(ISBLANK(J77), J77="",AND(F77=0,J77=0)), "", IF(AND(F77=0, J77&gt;0), 100, IF(AND(F77&gt;0, J77=0), 0, ROUND((J77/F77)*100, 3))))</f>
        <v/>
      </c>
      <c r="L77" s="30"/>
      <c r="M77" s="28" t="str">
        <f t="shared" ref="M77:M86" si="47">IF(OR(I77&lt;&gt;0,L77&lt;&gt;0),L77-I77,"")</f>
        <v/>
      </c>
      <c r="N77" s="28" t="str">
        <f t="shared" ref="N77:N86" si="48">IF(OR(ISBLANK(M77), M77="",AND(I77=0,M77=0)), "", IF(AND(I77=0, M77&gt;0), 100, IF(AND(I77&gt;0, M77=0), 0, ROUND((M77/I77)*100, 3))))</f>
        <v/>
      </c>
      <c r="O77" s="30"/>
      <c r="P77" s="28" t="str">
        <f t="shared" ref="P77:P86" si="49">IF(OR(L77&lt;&gt;0,O77&lt;&gt;0),O77-L77,"")</f>
        <v/>
      </c>
      <c r="Q77" s="28" t="str">
        <f t="shared" ref="Q77:Q86" si="50">IF(OR(ISBLANK(P77), P77="",AND(L77=0,P77=0)), "", IF(AND(L77=0, P77&gt;0), 100, IF(AND(L77&gt;0, P77=0), 0, ROUND((P77/L77)*100, 3))))</f>
        <v/>
      </c>
      <c r="R77" s="30"/>
      <c r="S77" s="28" t="str">
        <f t="shared" ref="S77:S86" si="51">IF(OR(O77&lt;&gt;0,R77&lt;&gt;0),R77-O77,"")</f>
        <v/>
      </c>
      <c r="T77" s="28" t="str">
        <f t="shared" ref="T77:T86" si="52">IF(OR(ISBLANK(S77), S77="",AND(O77=0,S77=0)), "", IF(AND(O77=0, S77&gt;0), 100, IF(AND(O77&gt;0, S77=0), 0, ROUND((S77/O77)*100, 3))))</f>
        <v/>
      </c>
      <c r="U77" s="28" t="str">
        <f t="shared" ref="U77:U86" si="53">IF(OR(R77&lt;&gt;0,E77&lt;&gt;0),R77-E77,"")</f>
        <v/>
      </c>
      <c r="V77" s="28" t="str">
        <f t="shared" ref="V77:V86" si="54">IF(OR(ISBLANK(U77), U77="",AND(E77=0,U77=0)), "", IF(AND(E77=0, U77&gt;0), 100, IF(AND(E77&gt;0, U77=0), 0, ROUND((U77/E77)*100, 3))))</f>
        <v/>
      </c>
    </row>
    <row r="78" spans="1:22">
      <c r="A78" s="35" t="s">
        <v>71</v>
      </c>
      <c r="B78" s="35" t="s">
        <v>178</v>
      </c>
      <c r="C78" s="39" t="s">
        <v>179</v>
      </c>
      <c r="D78" s="15"/>
      <c r="E78" s="15"/>
      <c r="F78" s="15"/>
      <c r="G78" s="21" t="str">
        <f t="shared" si="43"/>
        <v/>
      </c>
      <c r="H78" s="21" t="str">
        <f t="shared" si="44"/>
        <v/>
      </c>
      <c r="I78" s="16"/>
      <c r="J78" s="28" t="str">
        <f t="shared" si="45"/>
        <v/>
      </c>
      <c r="K78" s="28" t="str">
        <f t="shared" si="46"/>
        <v/>
      </c>
      <c r="L78" s="30"/>
      <c r="M78" s="28" t="str">
        <f t="shared" si="47"/>
        <v/>
      </c>
      <c r="N78" s="28" t="str">
        <f t="shared" si="48"/>
        <v/>
      </c>
      <c r="O78" s="30"/>
      <c r="P78" s="28" t="str">
        <f t="shared" si="49"/>
        <v/>
      </c>
      <c r="Q78" s="28" t="str">
        <f t="shared" si="50"/>
        <v/>
      </c>
      <c r="R78" s="30"/>
      <c r="S78" s="28" t="str">
        <f t="shared" si="51"/>
        <v/>
      </c>
      <c r="T78" s="28" t="str">
        <f t="shared" si="52"/>
        <v/>
      </c>
      <c r="U78" s="28" t="str">
        <f t="shared" si="53"/>
        <v/>
      </c>
      <c r="V78" s="28" t="str">
        <f t="shared" si="54"/>
        <v/>
      </c>
    </row>
    <row r="79" spans="1:22">
      <c r="A79" s="35" t="s">
        <v>74</v>
      </c>
      <c r="B79" s="35" t="s">
        <v>180</v>
      </c>
      <c r="C79" s="39" t="s">
        <v>181</v>
      </c>
      <c r="D79" s="15"/>
      <c r="E79" s="15"/>
      <c r="F79" s="15"/>
      <c r="G79" s="21" t="str">
        <f t="shared" si="43"/>
        <v/>
      </c>
      <c r="H79" s="21" t="str">
        <f t="shared" si="44"/>
        <v/>
      </c>
      <c r="I79" s="16"/>
      <c r="J79" s="28" t="str">
        <f t="shared" si="45"/>
        <v/>
      </c>
      <c r="K79" s="28" t="str">
        <f t="shared" si="46"/>
        <v/>
      </c>
      <c r="L79" s="30"/>
      <c r="M79" s="28" t="str">
        <f t="shared" si="47"/>
        <v/>
      </c>
      <c r="N79" s="28" t="str">
        <f t="shared" si="48"/>
        <v/>
      </c>
      <c r="O79" s="30"/>
      <c r="P79" s="28" t="str">
        <f t="shared" si="49"/>
        <v/>
      </c>
      <c r="Q79" s="28" t="str">
        <f t="shared" si="50"/>
        <v/>
      </c>
      <c r="R79" s="30"/>
      <c r="S79" s="28" t="str">
        <f t="shared" si="51"/>
        <v/>
      </c>
      <c r="T79" s="28" t="str">
        <f t="shared" si="52"/>
        <v/>
      </c>
      <c r="U79" s="28" t="str">
        <f t="shared" si="53"/>
        <v/>
      </c>
      <c r="V79" s="28" t="str">
        <f t="shared" si="54"/>
        <v/>
      </c>
    </row>
    <row r="80" spans="1:22">
      <c r="A80" s="35" t="s">
        <v>77</v>
      </c>
      <c r="B80" s="35" t="s">
        <v>182</v>
      </c>
      <c r="C80" s="39" t="s">
        <v>183</v>
      </c>
      <c r="D80" s="15"/>
      <c r="E80" s="15"/>
      <c r="F80" s="15"/>
      <c r="G80" s="21" t="str">
        <f t="shared" si="43"/>
        <v/>
      </c>
      <c r="H80" s="21" t="str">
        <f t="shared" si="44"/>
        <v/>
      </c>
      <c r="I80" s="16"/>
      <c r="J80" s="28" t="str">
        <f t="shared" si="45"/>
        <v/>
      </c>
      <c r="K80" s="28" t="str">
        <f t="shared" si="46"/>
        <v/>
      </c>
      <c r="L80" s="30"/>
      <c r="M80" s="28" t="str">
        <f t="shared" si="47"/>
        <v/>
      </c>
      <c r="N80" s="28" t="str">
        <f t="shared" si="48"/>
        <v/>
      </c>
      <c r="O80" s="30"/>
      <c r="P80" s="28" t="str">
        <f t="shared" si="49"/>
        <v/>
      </c>
      <c r="Q80" s="28" t="str">
        <f t="shared" si="50"/>
        <v/>
      </c>
      <c r="R80" s="30"/>
      <c r="S80" s="28" t="str">
        <f t="shared" si="51"/>
        <v/>
      </c>
      <c r="T80" s="28" t="str">
        <f t="shared" si="52"/>
        <v/>
      </c>
      <c r="U80" s="28" t="str">
        <f t="shared" si="53"/>
        <v/>
      </c>
      <c r="V80" s="28" t="str">
        <f t="shared" si="54"/>
        <v/>
      </c>
    </row>
    <row r="81" spans="1:22">
      <c r="A81" s="35" t="s">
        <v>80</v>
      </c>
      <c r="B81" s="35" t="s">
        <v>184</v>
      </c>
      <c r="C81" s="39" t="s">
        <v>185</v>
      </c>
      <c r="D81" s="15"/>
      <c r="E81" s="15"/>
      <c r="F81" s="15"/>
      <c r="G81" s="21" t="str">
        <f t="shared" si="43"/>
        <v/>
      </c>
      <c r="H81" s="21" t="str">
        <f t="shared" si="44"/>
        <v/>
      </c>
      <c r="I81" s="16"/>
      <c r="J81" s="28" t="str">
        <f t="shared" si="45"/>
        <v/>
      </c>
      <c r="K81" s="28" t="str">
        <f t="shared" si="46"/>
        <v/>
      </c>
      <c r="L81" s="30"/>
      <c r="M81" s="28" t="str">
        <f t="shared" si="47"/>
        <v/>
      </c>
      <c r="N81" s="28" t="str">
        <f t="shared" si="48"/>
        <v/>
      </c>
      <c r="O81" s="30"/>
      <c r="P81" s="28" t="str">
        <f t="shared" si="49"/>
        <v/>
      </c>
      <c r="Q81" s="28" t="str">
        <f t="shared" si="50"/>
        <v/>
      </c>
      <c r="R81" s="30"/>
      <c r="S81" s="28" t="str">
        <f t="shared" si="51"/>
        <v/>
      </c>
      <c r="T81" s="28" t="str">
        <f t="shared" si="52"/>
        <v/>
      </c>
      <c r="U81" s="28" t="str">
        <f t="shared" si="53"/>
        <v/>
      </c>
      <c r="V81" s="28" t="str">
        <f t="shared" si="54"/>
        <v/>
      </c>
    </row>
    <row r="82" spans="1:22">
      <c r="A82" s="35" t="s">
        <v>83</v>
      </c>
      <c r="B82" s="35" t="s">
        <v>186</v>
      </c>
      <c r="C82" s="39" t="s">
        <v>187</v>
      </c>
      <c r="D82" s="15"/>
      <c r="E82" s="15"/>
      <c r="F82" s="15"/>
      <c r="G82" s="21" t="str">
        <f t="shared" si="43"/>
        <v/>
      </c>
      <c r="H82" s="21" t="str">
        <f t="shared" si="44"/>
        <v/>
      </c>
      <c r="I82" s="16"/>
      <c r="J82" s="28" t="str">
        <f t="shared" si="45"/>
        <v/>
      </c>
      <c r="K82" s="28" t="str">
        <f t="shared" si="46"/>
        <v/>
      </c>
      <c r="L82" s="30"/>
      <c r="M82" s="28" t="str">
        <f t="shared" si="47"/>
        <v/>
      </c>
      <c r="N82" s="28" t="str">
        <f t="shared" si="48"/>
        <v/>
      </c>
      <c r="O82" s="30"/>
      <c r="P82" s="28" t="str">
        <f t="shared" si="49"/>
        <v/>
      </c>
      <c r="Q82" s="28" t="str">
        <f t="shared" si="50"/>
        <v/>
      </c>
      <c r="R82" s="30"/>
      <c r="S82" s="28" t="str">
        <f t="shared" si="51"/>
        <v/>
      </c>
      <c r="T82" s="28" t="str">
        <f t="shared" si="52"/>
        <v/>
      </c>
      <c r="U82" s="28" t="str">
        <f t="shared" si="53"/>
        <v/>
      </c>
      <c r="V82" s="28" t="str">
        <f t="shared" si="54"/>
        <v/>
      </c>
    </row>
    <row r="83" spans="1:22" ht="31.5">
      <c r="A83" s="35" t="s">
        <v>86</v>
      </c>
      <c r="B83" s="35" t="s">
        <v>188</v>
      </c>
      <c r="C83" s="39" t="s">
        <v>189</v>
      </c>
      <c r="D83" s="15"/>
      <c r="E83" s="15"/>
      <c r="F83" s="15"/>
      <c r="G83" s="21" t="str">
        <f t="shared" si="43"/>
        <v/>
      </c>
      <c r="H83" s="21" t="str">
        <f t="shared" si="44"/>
        <v/>
      </c>
      <c r="I83" s="16"/>
      <c r="J83" s="28" t="str">
        <f t="shared" si="45"/>
        <v/>
      </c>
      <c r="K83" s="28" t="str">
        <f t="shared" si="46"/>
        <v/>
      </c>
      <c r="L83" s="30"/>
      <c r="M83" s="28" t="str">
        <f t="shared" si="47"/>
        <v/>
      </c>
      <c r="N83" s="28" t="str">
        <f t="shared" si="48"/>
        <v/>
      </c>
      <c r="O83" s="30"/>
      <c r="P83" s="28" t="str">
        <f t="shared" si="49"/>
        <v/>
      </c>
      <c r="Q83" s="28" t="str">
        <f t="shared" si="50"/>
        <v/>
      </c>
      <c r="R83" s="30"/>
      <c r="S83" s="28" t="str">
        <f t="shared" si="51"/>
        <v/>
      </c>
      <c r="T83" s="28" t="str">
        <f t="shared" si="52"/>
        <v/>
      </c>
      <c r="U83" s="28" t="str">
        <f t="shared" si="53"/>
        <v/>
      </c>
      <c r="V83" s="28" t="str">
        <f t="shared" si="54"/>
        <v/>
      </c>
    </row>
    <row r="84" spans="1:22">
      <c r="A84" s="35" t="s">
        <v>89</v>
      </c>
      <c r="B84" s="35" t="s">
        <v>190</v>
      </c>
      <c r="C84" s="39" t="s">
        <v>191</v>
      </c>
      <c r="D84" s="15"/>
      <c r="E84" s="15"/>
      <c r="F84" s="15"/>
      <c r="G84" s="21" t="str">
        <f t="shared" si="43"/>
        <v/>
      </c>
      <c r="H84" s="21" t="str">
        <f t="shared" si="44"/>
        <v/>
      </c>
      <c r="I84" s="16"/>
      <c r="J84" s="28" t="str">
        <f t="shared" si="45"/>
        <v/>
      </c>
      <c r="K84" s="28" t="str">
        <f t="shared" si="46"/>
        <v/>
      </c>
      <c r="L84" s="30"/>
      <c r="M84" s="28" t="str">
        <f t="shared" si="47"/>
        <v/>
      </c>
      <c r="N84" s="28" t="str">
        <f t="shared" si="48"/>
        <v/>
      </c>
      <c r="O84" s="30"/>
      <c r="P84" s="28" t="str">
        <f t="shared" si="49"/>
        <v/>
      </c>
      <c r="Q84" s="28" t="str">
        <f t="shared" si="50"/>
        <v/>
      </c>
      <c r="R84" s="30"/>
      <c r="S84" s="28" t="str">
        <f t="shared" si="51"/>
        <v/>
      </c>
      <c r="T84" s="28" t="str">
        <f t="shared" si="52"/>
        <v/>
      </c>
      <c r="U84" s="28" t="str">
        <f t="shared" si="53"/>
        <v/>
      </c>
      <c r="V84" s="28" t="str">
        <f t="shared" si="54"/>
        <v/>
      </c>
    </row>
    <row r="85" spans="1:22">
      <c r="A85" s="36" t="s">
        <v>92</v>
      </c>
      <c r="B85" s="35" t="s">
        <v>192</v>
      </c>
      <c r="C85" s="40" t="s">
        <v>193</v>
      </c>
      <c r="D85" s="15"/>
      <c r="E85" s="15"/>
      <c r="F85" s="15"/>
      <c r="G85" s="21" t="str">
        <f t="shared" si="43"/>
        <v/>
      </c>
      <c r="H85" s="21" t="str">
        <f t="shared" si="44"/>
        <v/>
      </c>
      <c r="I85" s="16"/>
      <c r="J85" s="28" t="str">
        <f t="shared" si="45"/>
        <v/>
      </c>
      <c r="K85" s="28" t="str">
        <f t="shared" si="46"/>
        <v/>
      </c>
      <c r="L85" s="30"/>
      <c r="M85" s="28" t="str">
        <f t="shared" si="47"/>
        <v/>
      </c>
      <c r="N85" s="28" t="str">
        <f t="shared" si="48"/>
        <v/>
      </c>
      <c r="O85" s="30"/>
      <c r="P85" s="28" t="str">
        <f t="shared" si="49"/>
        <v/>
      </c>
      <c r="Q85" s="28" t="str">
        <f t="shared" si="50"/>
        <v/>
      </c>
      <c r="R85" s="30"/>
      <c r="S85" s="28" t="str">
        <f t="shared" si="51"/>
        <v/>
      </c>
      <c r="T85" s="28" t="str">
        <f t="shared" si="52"/>
        <v/>
      </c>
      <c r="U85" s="28" t="str">
        <f t="shared" si="53"/>
        <v/>
      </c>
      <c r="V85" s="28" t="str">
        <f t="shared" si="54"/>
        <v/>
      </c>
    </row>
    <row r="86" spans="1:22" ht="31.5">
      <c r="A86" s="37" t="s">
        <v>97</v>
      </c>
      <c r="B86" s="37" t="s">
        <v>194</v>
      </c>
      <c r="C86" s="41" t="s">
        <v>195</v>
      </c>
      <c r="D86" s="22"/>
      <c r="E86" s="22"/>
      <c r="F86" s="22"/>
      <c r="G86" s="23" t="str">
        <f t="shared" si="43"/>
        <v/>
      </c>
      <c r="H86" s="23" t="str">
        <f t="shared" si="44"/>
        <v/>
      </c>
      <c r="I86" s="18"/>
      <c r="J86" s="29" t="str">
        <f t="shared" si="45"/>
        <v/>
      </c>
      <c r="K86" s="29" t="str">
        <f t="shared" si="46"/>
        <v/>
      </c>
      <c r="L86" s="32"/>
      <c r="M86" s="29" t="str">
        <f t="shared" si="47"/>
        <v/>
      </c>
      <c r="N86" s="29" t="str">
        <f t="shared" si="48"/>
        <v/>
      </c>
      <c r="O86" s="33"/>
      <c r="P86" s="29" t="str">
        <f t="shared" si="49"/>
        <v/>
      </c>
      <c r="Q86" s="29" t="str">
        <f t="shared" si="50"/>
        <v/>
      </c>
      <c r="R86" s="33"/>
      <c r="S86" s="29" t="str">
        <f t="shared" si="51"/>
        <v/>
      </c>
      <c r="T86" s="29" t="str">
        <f t="shared" si="52"/>
        <v/>
      </c>
      <c r="U86" s="29" t="str">
        <f t="shared" si="53"/>
        <v/>
      </c>
      <c r="V86" s="29" t="str">
        <f t="shared" si="54"/>
        <v/>
      </c>
    </row>
    <row r="87" spans="1:22">
      <c r="A87" s="24"/>
      <c r="B87" s="24"/>
      <c r="C87" s="24"/>
      <c r="D87" s="24"/>
      <c r="E87" s="24"/>
      <c r="F87" s="24"/>
      <c r="G87" s="24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</row>
    <row r="88" spans="1:22">
      <c r="A88" s="10"/>
      <c r="B88" s="10"/>
      <c r="C88" s="10"/>
      <c r="D88" s="10"/>
      <c r="J88" s="56" t="s">
        <v>22</v>
      </c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</row>
    <row r="89" spans="1:22" ht="21" customHeight="1">
      <c r="A89" s="11"/>
      <c r="B89" s="11"/>
      <c r="C89" s="51" t="s">
        <v>23</v>
      </c>
      <c r="D89" s="51"/>
      <c r="I89" s="51" t="s">
        <v>24</v>
      </c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</row>
    <row r="90" spans="1:22">
      <c r="A90" s="12"/>
      <c r="B90" s="12"/>
      <c r="C90" s="56" t="s">
        <v>25</v>
      </c>
      <c r="D90" s="56"/>
      <c r="I90" s="56" t="s">
        <v>26</v>
      </c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</row>
    <row r="91" spans="1:22" ht="18" customHeight="1">
      <c r="A91" s="2"/>
      <c r="B91" s="2"/>
      <c r="C91" s="2"/>
      <c r="D91" s="2"/>
      <c r="E91" s="2"/>
      <c r="F91" s="2"/>
      <c r="G91" s="2"/>
    </row>
  </sheetData>
  <mergeCells count="45">
    <mergeCell ref="V9:V10"/>
    <mergeCell ref="J88:V88"/>
    <mergeCell ref="C89:D89"/>
    <mergeCell ref="I89:V89"/>
    <mergeCell ref="C90:D90"/>
    <mergeCell ref="I90:V90"/>
    <mergeCell ref="N9:N10"/>
    <mergeCell ref="P9:P10"/>
    <mergeCell ref="Q9:Q10"/>
    <mergeCell ref="S9:S10"/>
    <mergeCell ref="T9:T10"/>
    <mergeCell ref="U9:U10"/>
    <mergeCell ref="O8:O10"/>
    <mergeCell ref="P8:Q8"/>
    <mergeCell ref="R8:R10"/>
    <mergeCell ref="S8:T8"/>
    <mergeCell ref="I7:K7"/>
    <mergeCell ref="L7:N7"/>
    <mergeCell ref="O7:Q7"/>
    <mergeCell ref="R7:V7"/>
    <mergeCell ref="F8:F10"/>
    <mergeCell ref="G8:H8"/>
    <mergeCell ref="I8:I10"/>
    <mergeCell ref="J8:K8"/>
    <mergeCell ref="L8:L10"/>
    <mergeCell ref="M8:N8"/>
    <mergeCell ref="U8:V8"/>
    <mergeCell ref="G9:G10"/>
    <mergeCell ref="H9:H10"/>
    <mergeCell ref="J9:J10"/>
    <mergeCell ref="K9:K10"/>
    <mergeCell ref="M9:M10"/>
    <mergeCell ref="K1:V1"/>
    <mergeCell ref="A5:T5"/>
    <mergeCell ref="K6:V6"/>
    <mergeCell ref="J2:V2"/>
    <mergeCell ref="J3:V3"/>
    <mergeCell ref="B2:C2"/>
    <mergeCell ref="B3:C3"/>
    <mergeCell ref="A7:A10"/>
    <mergeCell ref="C7:C10"/>
    <mergeCell ref="D7:D10"/>
    <mergeCell ref="E7:E10"/>
    <mergeCell ref="F7:H7"/>
    <mergeCell ref="B7:B10"/>
  </mergeCells>
  <pageMargins left="0.7" right="0.7" top="0.75" bottom="0.75" header="0.3" footer="0.3"/>
  <pageSetup scale="3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DucAnh</dc:creator>
  <cp:lastModifiedBy>DucAnh</cp:lastModifiedBy>
  <dcterms:created xsi:type="dcterms:W3CDTF">2024-08-05T01:43:59Z</dcterms:created>
  <dcterms:modified xsi:type="dcterms:W3CDTF">2024-08-20T03:18:17Z</dcterms:modified>
</cp:coreProperties>
</file>
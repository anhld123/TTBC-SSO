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480" yWindow="75" windowWidth="14355" windowHeight="7995"/>
  </bookViews>
  <sheets>
    <sheet name="CAN DOI KE TOAN" sheetId="2" r:id="rId1"/>
    <sheet name="KET QUA KD" sheetId="3" r:id="rId2"/>
    <sheet name="LCTTE(TT)" sheetId="4" r:id="rId3"/>
    <sheet name="LCTT(GT)" sheetId="5" r:id="rId4"/>
  </sheets>
  <calcPr calcId="152511"/>
</workbook>
</file>

<file path=xl/calcChain.xml><?xml version="1.0" encoding="utf-8"?>
<calcChain xmlns="http://schemas.openxmlformats.org/spreadsheetml/2006/main">
  <c r="D6" i="2" l="1"/>
  <c r="C6" i="2"/>
  <c r="D6" i="3"/>
  <c r="C6" i="3"/>
  <c r="D6" i="4"/>
  <c r="C6" i="4"/>
  <c r="D6" i="5"/>
  <c r="C6" i="5"/>
  <c r="C73" i="2" l="1"/>
  <c r="D43" i="2" l="1"/>
  <c r="D40" i="2"/>
  <c r="D37" i="2"/>
  <c r="C43" i="2" l="1"/>
  <c r="C40" i="2"/>
  <c r="C37" i="2"/>
  <c r="D40" i="5" l="1"/>
  <c r="C40" i="5"/>
  <c r="D32" i="5"/>
  <c r="C32" i="5"/>
  <c r="D14" i="5"/>
  <c r="D23" i="5" s="1"/>
  <c r="C14" i="5"/>
  <c r="C23" i="5" s="1"/>
  <c r="D20" i="3"/>
  <c r="D32" i="4"/>
  <c r="D24" i="4"/>
  <c r="D15" i="4"/>
  <c r="C32" i="4"/>
  <c r="C24" i="4"/>
  <c r="C15" i="4"/>
  <c r="C20" i="3"/>
  <c r="D9" i="3"/>
  <c r="D11" i="3" s="1"/>
  <c r="D17" i="3" s="1"/>
  <c r="C9" i="3"/>
  <c r="D41" i="5" l="1"/>
  <c r="D44" i="5" s="1"/>
  <c r="C41" i="5"/>
  <c r="C44" i="5" s="1"/>
  <c r="D33" i="4"/>
  <c r="D36" i="4" s="1"/>
  <c r="C33" i="4"/>
  <c r="C36" i="4" s="1"/>
  <c r="D21" i="3"/>
  <c r="D24" i="3" s="1"/>
  <c r="C11" i="3"/>
  <c r="D97" i="2"/>
  <c r="C97" i="2"/>
  <c r="D84" i="2"/>
  <c r="C84" i="2"/>
  <c r="D73" i="2"/>
  <c r="D61" i="2"/>
  <c r="C61" i="2"/>
  <c r="D55" i="2"/>
  <c r="C55" i="2"/>
  <c r="D50" i="2"/>
  <c r="C50" i="2"/>
  <c r="D47" i="2"/>
  <c r="C47" i="2"/>
  <c r="D36" i="2"/>
  <c r="C36" i="2"/>
  <c r="D30" i="2"/>
  <c r="C30" i="2"/>
  <c r="D24" i="2"/>
  <c r="C24" i="2"/>
  <c r="D21" i="2"/>
  <c r="C21" i="2"/>
  <c r="D14" i="2"/>
  <c r="C14" i="2"/>
  <c r="D11" i="2"/>
  <c r="C11" i="2"/>
  <c r="D8" i="2"/>
  <c r="C8" i="2"/>
  <c r="C17" i="3" l="1"/>
  <c r="C21" i="3" s="1"/>
  <c r="C24" i="3" s="1"/>
  <c r="D83" i="2"/>
  <c r="C83" i="2"/>
  <c r="D60" i="2"/>
  <c r="C60" i="2"/>
  <c r="D29" i="2"/>
  <c r="C29" i="2"/>
  <c r="D7" i="2"/>
  <c r="C7" i="2"/>
  <c r="D102" i="2" l="1"/>
  <c r="C102" i="2"/>
  <c r="D59" i="2"/>
  <c r="C59" i="2"/>
  <c r="D103" i="2" l="1"/>
  <c r="C103" i="2"/>
</calcChain>
</file>

<file path=xl/comments1.xml><?xml version="1.0" encoding="utf-8"?>
<comments xmlns="http://schemas.openxmlformats.org/spreadsheetml/2006/main">
  <authors>
    <author>BAOANH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jx:area(lastCell="B4")
jx:each(items="data", var="data", lastCell="B4")</t>
        </r>
      </text>
    </comment>
  </commentList>
</comments>
</file>

<file path=xl/comments2.xml><?xml version="1.0" encoding="utf-8"?>
<comments xmlns="http://schemas.openxmlformats.org/spreadsheetml/2006/main">
  <authors>
    <author>BAOANH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jx:area(lastCell="B4")
jx:each(items="data1", var="data1", lastCell="B4")</t>
        </r>
      </text>
    </comment>
  </commentList>
</comments>
</file>

<file path=xl/comments3.xml><?xml version="1.0" encoding="utf-8"?>
<comments xmlns="http://schemas.openxmlformats.org/spreadsheetml/2006/main">
  <authors>
    <author>BAOANH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jx:area(lastCell="B4")
jx:each(items="data2", var="data2", lastCell="B4")</t>
        </r>
      </text>
    </comment>
  </commentList>
</comments>
</file>

<file path=xl/comments4.xml><?xml version="1.0" encoding="utf-8"?>
<comments xmlns="http://schemas.openxmlformats.org/spreadsheetml/2006/main">
  <authors>
    <author>BAOANH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jx:area(lastCell="B4")
jx:each(items="data3", var="data3", lastCell="B4")</t>
        </r>
      </text>
    </comment>
  </commentList>
</comments>
</file>

<file path=xl/sharedStrings.xml><?xml version="1.0" encoding="utf-8"?>
<sst xmlns="http://schemas.openxmlformats.org/spreadsheetml/2006/main" count="243" uniqueCount="204">
  <si>
    <t>Mã số</t>
  </si>
  <si>
    <t>Tên chỉ tiêu</t>
  </si>
  <si>
    <t>A. Tài sản ngắn hạn (100=110+120+130+140+150)</t>
  </si>
  <si>
    <t>I. Tiền và các khoản tương đương tiền</t>
  </si>
  <si>
    <t>1.Tiền</t>
  </si>
  <si>
    <t>2. Các khoản tương đương tiền</t>
  </si>
  <si>
    <t>II. Các khoản đầu tư tài chính ngắn hạn</t>
  </si>
  <si>
    <t>1. Đầu tư ngắn hạn</t>
  </si>
  <si>
    <t>2. Dự phòng giảm giá đầu tư ngắn hạn (*) (2)</t>
  </si>
  <si>
    <t>III. Các khoản phải thu ngắn hạn</t>
  </si>
  <si>
    <t>1. Phải thu khách hàng</t>
  </si>
  <si>
    <t>2. Trả trước cho người bán</t>
  </si>
  <si>
    <t>3. Phải thu nội bộ ngắn hạn</t>
  </si>
  <si>
    <t>4. Phải thu theo tiến độ kế hoạch hợp đồng xây dựng</t>
  </si>
  <si>
    <t>5. Các khoản phải thu khác</t>
  </si>
  <si>
    <t>6. Dự phòng phải thu ngắn hạn khó đòi (*)</t>
  </si>
  <si>
    <t>IV. Hàng tồn kho</t>
  </si>
  <si>
    <t>1. Hàng tồn kho</t>
  </si>
  <si>
    <t>2. Dự phòng giảm giá hàng tồn kho (*)</t>
  </si>
  <si>
    <t>V. Tài sản ngắn hạn khác</t>
  </si>
  <si>
    <t>1. Chi phí trả trước ngắn hạn</t>
  </si>
  <si>
    <t>2. Thuế GTGT được khấu trừ</t>
  </si>
  <si>
    <t>3. Thuế và các khoản khác phải thu Nhà nước</t>
  </si>
  <si>
    <t>5. Tài sản ngắn hạn khác</t>
  </si>
  <si>
    <t>B. Tài sản dài hạn (200 = 210 + 220 + 240 + 250 + 260)</t>
  </si>
  <si>
    <t>I- Các khoản phải thu dài hạn</t>
  </si>
  <si>
    <t>1. Phải thu dài hạn của khách hàng</t>
  </si>
  <si>
    <t>2. Vốn kinh doanh ở đơn vị trực thuộc</t>
  </si>
  <si>
    <t>3. Phải thu dài hạn nội bộ</t>
  </si>
  <si>
    <t>4. Phải thu dài hạn khác</t>
  </si>
  <si>
    <t>5. Dự phòng phải thu dài hạn khó đòi (*)</t>
  </si>
  <si>
    <t>II. Tài sản cố định</t>
  </si>
  <si>
    <t>1. Tài sản cố định hữu hình</t>
  </si>
  <si>
    <t>Nguyên giá</t>
  </si>
  <si>
    <t>- Giá trị hao mòn luỹ kế (*)</t>
  </si>
  <si>
    <t>2. Tài sản cố định thuê tài chính</t>
  </si>
  <si>
    <t>3. Tài sản cố định vô hình</t>
  </si>
  <si>
    <t>4. Chi phí xây dựng cơ bản dở dang</t>
  </si>
  <si>
    <t>III. Bất động sản đầu tư</t>
  </si>
  <si>
    <t>IV. Các khoản đầu tư tài chính dài hạn</t>
  </si>
  <si>
    <t>1. Đầu tư vào công ty con</t>
  </si>
  <si>
    <t>2. Đầu tư vào công ty liên kết, liên doanh</t>
  </si>
  <si>
    <t>3. Đầu tư dài hạn khác</t>
  </si>
  <si>
    <t>4. Dự phòng giảm giá đầu tư tài chính dài hạn (*)</t>
  </si>
  <si>
    <t>V. Tài sản dài hạn khác</t>
  </si>
  <si>
    <t>1. Chi phí trả trước dài hạn</t>
  </si>
  <si>
    <t>2. Tài sản thuế thu nhập hoãn lại</t>
  </si>
  <si>
    <t>3. Tài sản dài hạn khác</t>
  </si>
  <si>
    <t>TONG CONG TAI SAN (270 = 100 + 200)</t>
  </si>
  <si>
    <t>A. Nợ phải trả (300 = 310 + 330)</t>
  </si>
  <si>
    <t>I. Nợ ngắn hạn</t>
  </si>
  <si>
    <t>1. Vay và nợ ngắn hạn</t>
  </si>
  <si>
    <t>2. Phải trả người bán</t>
  </si>
  <si>
    <t>3. Người mua trả tiền trước</t>
  </si>
  <si>
    <t>4. Thuế và các khoản phải nộp Nhà nước</t>
  </si>
  <si>
    <t>5. Phải trả người lao động</t>
  </si>
  <si>
    <t>6. Chi phí phải trả</t>
  </si>
  <si>
    <t>7. Phải trả nội bộ</t>
  </si>
  <si>
    <t>8. Phải trả theo tiến độ kế hoạch hợp đồng xây dựng</t>
  </si>
  <si>
    <t>9. Các khoản phải trả, phải nộp ngắn hạn khác</t>
  </si>
  <si>
    <t>10. Dự phòng phải trả ngắn hạn</t>
  </si>
  <si>
    <t>11. Quỹ khen thưởng, phúc lợi</t>
  </si>
  <si>
    <t>II. Nợ dài hạn</t>
  </si>
  <si>
    <t>1. Phải trả dài hạn người bán</t>
  </si>
  <si>
    <t>2. Phải trả dài hạn nội bộ</t>
  </si>
  <si>
    <t>3. Phải trả dài hạn khác</t>
  </si>
  <si>
    <t>4. Vay và nợ dài hạn</t>
  </si>
  <si>
    <t>5. Thuế thu nhập hoãn lại phải trả</t>
  </si>
  <si>
    <t>6. Dự phòng trợ cấp mất việc làm</t>
  </si>
  <si>
    <t>7.Dự phòng phải trả dài hạn</t>
  </si>
  <si>
    <t>8. Doanh thu chưa thực hiện</t>
  </si>
  <si>
    <t>9. Quỹ phát triển khoa học và công nghệ</t>
  </si>
  <si>
    <t>B. Vốn chủ sở hữu (400 = 410 + 430)</t>
  </si>
  <si>
    <t>I. Vốn chủ sở hữu</t>
  </si>
  <si>
    <t>1. Vốn đầu tư của chủ sở hữu</t>
  </si>
  <si>
    <t>2. Thặng dư vốn cổ phần</t>
  </si>
  <si>
    <t>3. Vốn khác của chủ sở hữu</t>
  </si>
  <si>
    <t>4. Cổ phiếu quỹ (*)</t>
  </si>
  <si>
    <t>5. Chênh lệch đánh giá lại tài sản</t>
  </si>
  <si>
    <t>6. Chênh lệch tỷ giá hối đoái</t>
  </si>
  <si>
    <t>7. Quỹ đầu tư phát triển</t>
  </si>
  <si>
    <t>8. Quỹ dự phòng tài chính</t>
  </si>
  <si>
    <t>9. Quỹ khác thuộc vốn chủ sở hữu</t>
  </si>
  <si>
    <t>10. Lợi nhuận sau thuế chưa phân phối</t>
  </si>
  <si>
    <t>11. Nguồn vốn đầu tư XDCB</t>
  </si>
  <si>
    <t>12. Quỹ hỗ trợ sắp xếp doanh nghiệp</t>
  </si>
  <si>
    <t>II. Nguồn kinh phí và quỹ khác</t>
  </si>
  <si>
    <t>1. Quỹ khen thưởng, phúc lợi</t>
  </si>
  <si>
    <t>2. Nguồn kinh phí</t>
  </si>
  <si>
    <t>3. Nguồn kinh phí đã hình thành TSCĐ</t>
  </si>
  <si>
    <t>C. Lợi ích cổ đông thiểu số</t>
  </si>
  <si>
    <t>TONG CONG NGUON VON (440 = 300 + 400)</t>
  </si>
  <si>
    <t>CHENH LECH TAI SAN - NGUON VON</t>
  </si>
  <si>
    <t>01</t>
  </si>
  <si>
    <t>1. Doanh thu bán hàng và cung cấp dịch vụ</t>
  </si>
  <si>
    <t>02</t>
  </si>
  <si>
    <t>2. Các khoản giảm trừ doanh thu</t>
  </si>
  <si>
    <t>3. Doanh thu thuần về bán hàng và cung cấp dịch vụ (10 = 01 - 02)</t>
  </si>
  <si>
    <t>4. Giá vốn hàng bán</t>
  </si>
  <si>
    <t>5. Lợi nhuận gộp về bán hàng và cung cấp dịch vụ (20 = 10 - 11)</t>
  </si>
  <si>
    <t>6. Doanh thu hoạt động tài chính</t>
  </si>
  <si>
    <t>7. Chi phí tài chính</t>
  </si>
  <si>
    <t>Trong đó: Chi phí lãi vay</t>
  </si>
  <si>
    <t>8. Chi phí bán hàng</t>
  </si>
  <si>
    <t>9. Chi phí quản lý doanh nghiệp</t>
  </si>
  <si>
    <t>10 Lợi nhuận thuần từ hoạt động kinh doanh {30 = 20 + (21 - 22) - (24 + 25)}</t>
  </si>
  <si>
    <t>11. Thu nhập khác</t>
  </si>
  <si>
    <t>12. Chi phí khác</t>
  </si>
  <si>
    <t>13. Lợi nhuận khác (40 = 31 - 32)</t>
  </si>
  <si>
    <t>14. Tổng lợi nhuận kế toán trước thuế  (50 = 30 + 40)</t>
  </si>
  <si>
    <t>15. Chi phí thuế TNDN hiện hành</t>
  </si>
  <si>
    <t>16. Chi phí thuế TNDN hoãn lại</t>
  </si>
  <si>
    <t>18. Lãi cơ bản trên cổ phiếu (*)</t>
  </si>
  <si>
    <t>001</t>
  </si>
  <si>
    <t>I. Lưu chuyển tiền tử hoạt động kinh doanh</t>
  </si>
  <si>
    <t>1. Tiền thu từ bán hàng, cung cấp dịch vụ và doanh thu khác</t>
  </si>
  <si>
    <t>2. Tiền chi trả cho người cung cấp hàng hóa và dịch vụ</t>
  </si>
  <si>
    <t>03</t>
  </si>
  <si>
    <t>3. Tiền chi trả cho người lao động</t>
  </si>
  <si>
    <t>04</t>
  </si>
  <si>
    <t>4. Tiền chi trả lãi vay</t>
  </si>
  <si>
    <t>05</t>
  </si>
  <si>
    <t>5. Tiền chi nộp thuế thu nhập doanh nghiệp</t>
  </si>
  <si>
    <t>06</t>
  </si>
  <si>
    <t>6. Tiền thu khác từ hoạt động kinh doanh</t>
  </si>
  <si>
    <t>07</t>
  </si>
  <si>
    <t>7. Tiền chi khác cho hoạt động kinh doanh</t>
  </si>
  <si>
    <t>Lưu chuyển tiền thuần từ hoạt động kinh doanh (20=01+02+03+04+05+06+07)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</si>
  <si>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</si>
  <si>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</si>
  <si>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</si>
  <si>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</si>
  <si>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</si>
  <si>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</si>
  <si>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</si>
  <si>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</si>
  <si>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Lưu chuyển tiền thuần từ hoạt động đầu tư (30=21+22+23+24+25+26+27)</t>
  </si>
  <si>
    <t>III. Lưu chuyển tiền từ hoạt động tài chính</t>
  </si>
  <si>
    <t>1. Tiền thu từ phát hành cổ phiếu, nhận vốn góp của chủ sở hữu</t>
  </si>
  <si>
    <t>2. Tiền chi trả vốn góp cho các chủ sở hữu, mua lại cổ phiếu của doanh nghiệp đã phát hành</t>
  </si>
  <si>
    <t>3. Tiền vay ngắn hạn, dài hạn nhận được</t>
  </si>
  <si>
    <t>4. Tiền chi trả nợ gốc vay</t>
  </si>
  <si>
    <t>5. Tiền chi trả nợ thuê tài chính</t>
  </si>
  <si>
    <t>6. Cổ tức, lợi nhuận đã trả cho chủ sở hữu</t>
  </si>
  <si>
    <t>Lưu chuyển tiền thuần từ hoạt động tài chính (40=31+32+33+34+35+36)</t>
  </si>
  <si>
    <t>Lưu chuyển tiền thuần trong kỳ (50=20+30+40)</t>
  </si>
  <si>
    <t>Tiền và tương đương tiền đầu kỳ</t>
  </si>
  <si>
    <t>Ảnh hưởng của thay đổi tỷ giá hối đoái quy đổi ngoại tệ</t>
  </si>
  <si>
    <t>Tiền và tương đương tiền cuối kỳ (70=50+60+61)</t>
  </si>
  <si>
    <t>-Lợi nhuận trước thuế</t>
  </si>
  <si>
    <t>-Khấu hao TSCĐ</t>
  </si>
  <si>
    <t>-Các khoản dự phòng</t>
  </si>
  <si>
    <t>-Lãi, lỗ chênh lệch tỷ giá hối đoái chưa thực hiện</t>
  </si>
  <si>
    <t>-Lãi, lỗ từ hoạt động đầu tư</t>
  </si>
  <si>
    <t>-Chi phí lãi vay</t>
  </si>
  <si>
    <t>08</t>
  </si>
  <si>
    <t>3. Lợi nhuận từ hoạt động kinh doanh trước thay đổi vốn lưu động (08=01+02+03+04+05+06)</t>
  </si>
  <si>
    <t>09</t>
  </si>
  <si>
    <t>Tăng, giảm Các khoản phải thu</t>
  </si>
  <si>
    <t>- Tăng, giảm hàng tồn kho</t>
  </si>
  <si>
    <t>- Tăng, giảm Chi phí trả trước</t>
  </si>
  <si>
    <t>- Tiền lãi vay đã trả</t>
  </si>
  <si>
    <t>- thuế thu nhập doanh nghiệp đã nộp</t>
  </si>
  <si>
    <t>- Tiền thu khác từ hoạt động kinh doanh</t>
  </si>
  <si>
    <t>- Tiền Chi khác cho hoạt động kinh doanh</t>
  </si>
  <si>
    <t>Lưu chuyển tiền thuần từ hoạt động kinh doanh(20=08+09+10+11+12+13+14+15+16)</t>
  </si>
  <si>
    <t>1.Tiền chi để mua sắm, xây dựng TSCĐ và các tài sản dài hạn khác</t>
  </si>
  <si>
    <t>2.Tiền thu từ thanh lý, nhượng bán TSCĐ và các tài sản dài hạn khác</t>
  </si>
  <si>
    <t>3.Tiền chi cho vay, mua các công cụ nợ của đơn vị khác</t>
  </si>
  <si>
    <t>4.Tiền thu hồi cho vay, bán lại các công cụ nợ của đơn vị khác</t>
  </si>
  <si>
    <t>5.Tiền chi đầu tư góp vốn vào đơn vị khác</t>
  </si>
  <si>
    <t>6.Tiền thu hồi đầu tư góp vốn vào đơn vị khác</t>
  </si>
  <si>
    <t>7.Tiền thu lãi cho vay, cổ tức và lợi nhuận được chia</t>
  </si>
  <si>
    <t>Lưu chuyển tiền thuần từ hoạt động đầu tư(30 = 21+22+23+24+25+26+27)</t>
  </si>
  <si>
    <t>1.Tiền thu từ phát hành cổ phiếu, nhận vốn góp của chủ sở hữu</t>
  </si>
  <si>
    <t>2.Tiền chi trả vốn góp cho các chủ sở hữu, mua lại cổ phiếu của doanh nghiệp đã phát hành</t>
  </si>
  <si>
    <t>3.Tiền vay ngắn hạn, dài hạn nhận được</t>
  </si>
  <si>
    <t>4.Tiền chi trả nợ gốc vay</t>
  </si>
  <si>
    <t>5.Tiền chi trả nợ thuê tài chính</t>
  </si>
  <si>
    <t>Lưu chuyển tiền thuần từ hoạt động tài chính(40= 31+32+33+34+35+36)</t>
  </si>
  <si>
    <t>Lưu chuyển tiền thuần trong kỳ (50 = 20+30+40)</t>
  </si>
  <si>
    <t>Tiền và tương đương tiền cuối kỳ (70 = 50+60+61)</t>
  </si>
  <si>
    <t>- Tăng, giảm Các khoản phải trả (Không kể lãi vay phải trả, thuế thu nhập doanh nghiệp phải nộp)-</t>
  </si>
  <si>
    <t>17. Lợi nhuận sau thuế thu nhập doanh nghiệp  (60 = 50 - 51 - 52)</t>
  </si>
  <si>
    <t>Mã khách hàng</t>
  </si>
  <si>
    <t>Tên khách hàng</t>
  </si>
  <si>
    <t>Xã</t>
  </si>
  <si>
    <t>Tên Công ty</t>
  </si>
  <si>
    <t>${data.STR1}</t>
  </si>
  <si>
    <t>${data.STR2}</t>
  </si>
  <si>
    <t>${data.STR3}</t>
  </si>
  <si>
    <t>${data.STR4}</t>
  </si>
  <si>
    <t>${data1.STR1}</t>
  </si>
  <si>
    <t>${data1.STR2}</t>
  </si>
  <si>
    <t>${data1.STR3}</t>
  </si>
  <si>
    <t>${data1.STR4}</t>
  </si>
  <si>
    <t>${data2.STR1}</t>
  </si>
  <si>
    <t>${data2.STR2}</t>
  </si>
  <si>
    <t>${data2.STR3}</t>
  </si>
  <si>
    <t>${data2.STR4}</t>
  </si>
  <si>
    <t>${data3.STR1}</t>
  </si>
  <si>
    <t>${data3.STR2}</t>
  </si>
  <si>
    <t>${data3.STR3}</t>
  </si>
  <si>
    <t>${data3.STR4}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</si>
</sst>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4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1" fontId="2" fillId="0" borderId="1" xfId="0" applyNumberFormat="1" applyFont="1" applyBorder="1"/>
    <xf numFmtId="0" fontId="1" fillId="0" borderId="1" xfId="0" quotePrefix="1" applyFont="1" applyBorder="1"/>
    <xf numFmtId="1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Fill="1" applyBorder="1"/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0" xfId="0" applyFont="1"/>
    <xf numFmtId="0" fontId="7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3"/>
  <sheetViews>
    <sheetView tabSelected="1" workbookViewId="0">
      <selection activeCell="F12" sqref="F12"/>
    </sheetView>
  </sheetViews>
  <sheetFormatPr defaultRowHeight="18.75" x14ac:dyDescent="0.3"/>
  <cols>
    <col min="1" max="1" width="20.28515625" style="1" bestFit="1" customWidth="1"/>
    <col min="2" max="2" width="68.5703125" style="1" customWidth="1"/>
    <col min="3" max="3" width="17.140625" style="1" customWidth="1"/>
    <col min="4" max="4" width="17.5703125" style="1" customWidth="1"/>
    <col min="5" max="16384" width="9.140625" style="1"/>
  </cols>
  <sheetData>
    <row r="1" spans="1:4" x14ac:dyDescent="0.3">
      <c r="A1" s="14" t="s">
        <v>184</v>
      </c>
      <c r="B1" s="26" t="s">
        <v>188</v>
      </c>
      <c r="C1" s="26"/>
      <c r="D1" s="26"/>
    </row>
    <row r="2" spans="1:4" x14ac:dyDescent="0.3">
      <c r="A2" s="14" t="s">
        <v>187</v>
      </c>
      <c r="B2" s="26" t="s">
        <v>189</v>
      </c>
      <c r="C2" s="26"/>
      <c r="D2" s="26"/>
    </row>
    <row r="3" spans="1:4" x14ac:dyDescent="0.3">
      <c r="A3" s="14" t="s">
        <v>186</v>
      </c>
      <c r="B3" s="26" t="s">
        <v>190</v>
      </c>
      <c r="C3" s="26"/>
      <c r="D3" s="26"/>
    </row>
    <row r="4" spans="1:4" x14ac:dyDescent="0.3">
      <c r="A4" s="14" t="s">
        <v>185</v>
      </c>
      <c r="B4" s="26" t="s">
        <v>191</v>
      </c>
      <c r="C4" s="26"/>
      <c r="D4" s="26"/>
    </row>
    <row r="5" spans="1:4" x14ac:dyDescent="0.3">
      <c r="A5" s="15"/>
      <c r="B5" s="15"/>
    </row>
    <row r="6" spans="1:4" s="2" customFormat="1" x14ac:dyDescent="0.3">
      <c r="A6" s="16" t="s">
        <v>0</v>
      </c>
      <c r="B6" s="16" t="s">
        <v>1</v>
      </c>
      <c r="C6" s="13" t="str">
        <f ca="1">"Năm "&amp;YEAR(TODAY())-2</f>
        <v>Năm 2015</v>
      </c>
      <c r="D6" s="13" t="str">
        <f ca="1">"Năm "&amp;YEAR(TODAY())-1</f>
        <v>Năm 2016</v>
      </c>
    </row>
    <row r="7" spans="1:4" s="2" customFormat="1" x14ac:dyDescent="0.3">
      <c r="A7" s="11">
        <v>100</v>
      </c>
      <c r="B7" s="4" t="s">
        <v>2</v>
      </c>
      <c r="C7" s="4">
        <f>C8+C11+C14+C21+C24</f>
        <v>0</v>
      </c>
      <c r="D7" s="4">
        <f>D8+D11+D14+D21+D24</f>
        <v>0</v>
      </c>
    </row>
    <row r="8" spans="1:4" s="19" customFormat="1" x14ac:dyDescent="0.3">
      <c r="A8" s="17">
        <v>110</v>
      </c>
      <c r="B8" s="18" t="s">
        <v>3</v>
      </c>
      <c r="C8" s="18">
        <f>C9+C10</f>
        <v>0</v>
      </c>
      <c r="D8" s="18">
        <f>D9+D10</f>
        <v>0</v>
      </c>
    </row>
    <row r="9" spans="1:4" x14ac:dyDescent="0.3">
      <c r="A9" s="8">
        <v>111</v>
      </c>
      <c r="B9" s="3" t="s">
        <v>4</v>
      </c>
      <c r="C9" s="3">
        <v>0</v>
      </c>
      <c r="D9" s="3">
        <v>0</v>
      </c>
    </row>
    <row r="10" spans="1:4" x14ac:dyDescent="0.3">
      <c r="A10" s="8">
        <v>112</v>
      </c>
      <c r="B10" s="3" t="s">
        <v>5</v>
      </c>
      <c r="C10" s="3">
        <v>0</v>
      </c>
      <c r="D10" s="3">
        <v>0</v>
      </c>
    </row>
    <row r="11" spans="1:4" s="19" customFormat="1" x14ac:dyDescent="0.3">
      <c r="A11" s="17">
        <v>120</v>
      </c>
      <c r="B11" s="18" t="s">
        <v>6</v>
      </c>
      <c r="C11" s="18">
        <f>C12+C13</f>
        <v>0</v>
      </c>
      <c r="D11" s="18">
        <f>D12+D13</f>
        <v>0</v>
      </c>
    </row>
    <row r="12" spans="1:4" x14ac:dyDescent="0.3">
      <c r="A12" s="8">
        <v>121</v>
      </c>
      <c r="B12" s="3" t="s">
        <v>7</v>
      </c>
      <c r="C12" s="3">
        <v>0</v>
      </c>
      <c r="D12" s="3">
        <v>0</v>
      </c>
    </row>
    <row r="13" spans="1:4" x14ac:dyDescent="0.3">
      <c r="A13" s="8">
        <v>129</v>
      </c>
      <c r="B13" s="3" t="s">
        <v>8</v>
      </c>
      <c r="C13" s="3">
        <v>0</v>
      </c>
      <c r="D13" s="3">
        <v>0</v>
      </c>
    </row>
    <row r="14" spans="1:4" s="19" customFormat="1" x14ac:dyDescent="0.3">
      <c r="A14" s="17">
        <v>130</v>
      </c>
      <c r="B14" s="18" t="s">
        <v>9</v>
      </c>
      <c r="C14" s="18">
        <f>C15+C16+C17+C18+C19+C20</f>
        <v>0</v>
      </c>
      <c r="D14" s="18">
        <f>D15+D16+D17+D18+D19+D20</f>
        <v>0</v>
      </c>
    </row>
    <row r="15" spans="1:4" x14ac:dyDescent="0.3">
      <c r="A15" s="8">
        <v>131</v>
      </c>
      <c r="B15" s="3" t="s">
        <v>10</v>
      </c>
      <c r="C15" s="3">
        <v>0</v>
      </c>
      <c r="D15" s="3">
        <v>0</v>
      </c>
    </row>
    <row r="16" spans="1:4" x14ac:dyDescent="0.3">
      <c r="A16" s="8">
        <v>132</v>
      </c>
      <c r="B16" s="3" t="s">
        <v>11</v>
      </c>
      <c r="C16" s="3">
        <v>0</v>
      </c>
      <c r="D16" s="3">
        <v>0</v>
      </c>
    </row>
    <row r="17" spans="1:4" x14ac:dyDescent="0.3">
      <c r="A17" s="8">
        <v>133</v>
      </c>
      <c r="B17" s="3" t="s">
        <v>12</v>
      </c>
      <c r="C17" s="3">
        <v>0</v>
      </c>
      <c r="D17" s="3">
        <v>0</v>
      </c>
    </row>
    <row r="18" spans="1:4" x14ac:dyDescent="0.3">
      <c r="A18" s="8">
        <v>134</v>
      </c>
      <c r="B18" s="3" t="s">
        <v>13</v>
      </c>
      <c r="C18" s="3">
        <v>0</v>
      </c>
      <c r="D18" s="3">
        <v>0</v>
      </c>
    </row>
    <row r="19" spans="1:4" x14ac:dyDescent="0.3">
      <c r="A19" s="8">
        <v>135</v>
      </c>
      <c r="B19" s="3" t="s">
        <v>14</v>
      </c>
      <c r="C19" s="3">
        <v>0</v>
      </c>
      <c r="D19" s="3">
        <v>0</v>
      </c>
    </row>
    <row r="20" spans="1:4" x14ac:dyDescent="0.3">
      <c r="A20" s="8">
        <v>139</v>
      </c>
      <c r="B20" s="3" t="s">
        <v>15</v>
      </c>
      <c r="C20" s="3">
        <v>0</v>
      </c>
      <c r="D20" s="3">
        <v>0</v>
      </c>
    </row>
    <row r="21" spans="1:4" s="19" customFormat="1" x14ac:dyDescent="0.3">
      <c r="A21" s="17">
        <v>140</v>
      </c>
      <c r="B21" s="18" t="s">
        <v>16</v>
      </c>
      <c r="C21" s="18">
        <f>C22+C23</f>
        <v>0</v>
      </c>
      <c r="D21" s="18">
        <f>D22+D23</f>
        <v>0</v>
      </c>
    </row>
    <row r="22" spans="1:4" x14ac:dyDescent="0.3">
      <c r="A22" s="8">
        <v>141</v>
      </c>
      <c r="B22" s="3" t="s">
        <v>17</v>
      </c>
      <c r="C22" s="3">
        <v>0</v>
      </c>
      <c r="D22" s="3">
        <v>0</v>
      </c>
    </row>
    <row r="23" spans="1:4" x14ac:dyDescent="0.3">
      <c r="A23" s="8">
        <v>149</v>
      </c>
      <c r="B23" s="3" t="s">
        <v>18</v>
      </c>
      <c r="C23" s="3">
        <v>0</v>
      </c>
      <c r="D23" s="3">
        <v>0</v>
      </c>
    </row>
    <row r="24" spans="1:4" s="19" customFormat="1" x14ac:dyDescent="0.3">
      <c r="A24" s="17">
        <v>150</v>
      </c>
      <c r="B24" s="18" t="s">
        <v>19</v>
      </c>
      <c r="C24" s="18">
        <f>C25+C26+C27+C28</f>
        <v>0</v>
      </c>
      <c r="D24" s="18">
        <f>D25+D26+D27+D28</f>
        <v>0</v>
      </c>
    </row>
    <row r="25" spans="1:4" x14ac:dyDescent="0.3">
      <c r="A25" s="8">
        <v>151</v>
      </c>
      <c r="B25" s="3" t="s">
        <v>20</v>
      </c>
      <c r="C25" s="3">
        <v>0</v>
      </c>
      <c r="D25" s="3">
        <v>0</v>
      </c>
    </row>
    <row r="26" spans="1:4" x14ac:dyDescent="0.3">
      <c r="A26" s="8">
        <v>152</v>
      </c>
      <c r="B26" s="3" t="s">
        <v>21</v>
      </c>
      <c r="C26" s="3">
        <v>0</v>
      </c>
      <c r="D26" s="3">
        <v>0</v>
      </c>
    </row>
    <row r="27" spans="1:4" x14ac:dyDescent="0.3">
      <c r="A27" s="8">
        <v>154</v>
      </c>
      <c r="B27" s="3" t="s">
        <v>22</v>
      </c>
      <c r="C27" s="3">
        <v>0</v>
      </c>
      <c r="D27" s="3">
        <v>0</v>
      </c>
    </row>
    <row r="28" spans="1:4" x14ac:dyDescent="0.3">
      <c r="A28" s="8">
        <v>158</v>
      </c>
      <c r="B28" s="3" t="s">
        <v>23</v>
      </c>
      <c r="C28" s="3">
        <v>0</v>
      </c>
      <c r="D28" s="3">
        <v>0</v>
      </c>
    </row>
    <row r="29" spans="1:4" s="2" customFormat="1" x14ac:dyDescent="0.3">
      <c r="A29" s="11">
        <v>200</v>
      </c>
      <c r="B29" s="4" t="s">
        <v>24</v>
      </c>
      <c r="C29" s="4">
        <f>C30+C36+C47+C50+C55</f>
        <v>0</v>
      </c>
      <c r="D29" s="4">
        <f>D30+D36+D47+D50+D55</f>
        <v>0</v>
      </c>
    </row>
    <row r="30" spans="1:4" s="19" customFormat="1" x14ac:dyDescent="0.3">
      <c r="A30" s="17">
        <v>210</v>
      </c>
      <c r="B30" s="18" t="s">
        <v>25</v>
      </c>
      <c r="C30" s="18">
        <f>C31+C32+C33+C34+C35</f>
        <v>0</v>
      </c>
      <c r="D30" s="18">
        <f>D31+D32+D33+D34+D35</f>
        <v>0</v>
      </c>
    </row>
    <row r="31" spans="1:4" x14ac:dyDescent="0.3">
      <c r="A31" s="8">
        <v>211</v>
      </c>
      <c r="B31" s="3" t="s">
        <v>26</v>
      </c>
      <c r="C31" s="3">
        <v>0</v>
      </c>
      <c r="D31" s="3">
        <v>0</v>
      </c>
    </row>
    <row r="32" spans="1:4" x14ac:dyDescent="0.3">
      <c r="A32" s="8">
        <v>212</v>
      </c>
      <c r="B32" s="3" t="s">
        <v>27</v>
      </c>
      <c r="C32" s="3">
        <v>0</v>
      </c>
      <c r="D32" s="3">
        <v>0</v>
      </c>
    </row>
    <row r="33" spans="1:4" x14ac:dyDescent="0.3">
      <c r="A33" s="8">
        <v>213</v>
      </c>
      <c r="B33" s="3" t="s">
        <v>28</v>
      </c>
      <c r="C33" s="3">
        <v>0</v>
      </c>
      <c r="D33" s="3">
        <v>0</v>
      </c>
    </row>
    <row r="34" spans="1:4" x14ac:dyDescent="0.3">
      <c r="A34" s="8">
        <v>218</v>
      </c>
      <c r="B34" s="3" t="s">
        <v>29</v>
      </c>
      <c r="C34" s="3">
        <v>0</v>
      </c>
      <c r="D34" s="3">
        <v>0</v>
      </c>
    </row>
    <row r="35" spans="1:4" x14ac:dyDescent="0.3">
      <c r="A35" s="8">
        <v>219</v>
      </c>
      <c r="B35" s="3" t="s">
        <v>30</v>
      </c>
      <c r="C35" s="3">
        <v>0</v>
      </c>
      <c r="D35" s="3">
        <v>0</v>
      </c>
    </row>
    <row r="36" spans="1:4" s="19" customFormat="1" x14ac:dyDescent="0.3">
      <c r="A36" s="17">
        <v>220</v>
      </c>
      <c r="B36" s="18" t="s">
        <v>31</v>
      </c>
      <c r="C36" s="18">
        <f>C37+C40+C43+C46</f>
        <v>0</v>
      </c>
      <c r="D36" s="18">
        <f>D37+D40+D43+D46</f>
        <v>0</v>
      </c>
    </row>
    <row r="37" spans="1:4" s="22" customFormat="1" x14ac:dyDescent="0.3">
      <c r="A37" s="20">
        <v>221</v>
      </c>
      <c r="B37" s="21" t="s">
        <v>32</v>
      </c>
      <c r="C37" s="21">
        <f>C38-C39</f>
        <v>0</v>
      </c>
      <c r="D37" s="21">
        <f>D38-D39</f>
        <v>0</v>
      </c>
    </row>
    <row r="38" spans="1:4" x14ac:dyDescent="0.3">
      <c r="A38" s="8">
        <v>222</v>
      </c>
      <c r="B38" s="6" t="s">
        <v>33</v>
      </c>
      <c r="C38" s="3">
        <v>0</v>
      </c>
      <c r="D38" s="3">
        <v>0</v>
      </c>
    </row>
    <row r="39" spans="1:4" x14ac:dyDescent="0.3">
      <c r="A39" s="8">
        <v>223</v>
      </c>
      <c r="B39" s="3" t="s">
        <v>34</v>
      </c>
      <c r="C39" s="3">
        <v>0</v>
      </c>
      <c r="D39" s="3">
        <v>0</v>
      </c>
    </row>
    <row r="40" spans="1:4" s="22" customFormat="1" x14ac:dyDescent="0.3">
      <c r="A40" s="20">
        <v>224</v>
      </c>
      <c r="B40" s="21" t="s">
        <v>35</v>
      </c>
      <c r="C40" s="21">
        <f>C41-C42</f>
        <v>0</v>
      </c>
      <c r="D40" s="21">
        <f>D41-D42</f>
        <v>0</v>
      </c>
    </row>
    <row r="41" spans="1:4" x14ac:dyDescent="0.3">
      <c r="A41" s="8">
        <v>225</v>
      </c>
      <c r="B41" s="6" t="s">
        <v>33</v>
      </c>
      <c r="C41" s="3">
        <v>0</v>
      </c>
      <c r="D41" s="3">
        <v>0</v>
      </c>
    </row>
    <row r="42" spans="1:4" x14ac:dyDescent="0.3">
      <c r="A42" s="8">
        <v>226</v>
      </c>
      <c r="B42" s="3" t="s">
        <v>34</v>
      </c>
      <c r="C42" s="3">
        <v>0</v>
      </c>
      <c r="D42" s="3">
        <v>0</v>
      </c>
    </row>
    <row r="43" spans="1:4" s="22" customFormat="1" x14ac:dyDescent="0.3">
      <c r="A43" s="20">
        <v>227</v>
      </c>
      <c r="B43" s="21" t="s">
        <v>36</v>
      </c>
      <c r="C43" s="21">
        <f>C44-C45</f>
        <v>0</v>
      </c>
      <c r="D43" s="21">
        <f>D44-D45</f>
        <v>0</v>
      </c>
    </row>
    <row r="44" spans="1:4" x14ac:dyDescent="0.3">
      <c r="A44" s="8">
        <v>228</v>
      </c>
      <c r="B44" s="6" t="s">
        <v>33</v>
      </c>
      <c r="C44" s="3">
        <v>0</v>
      </c>
      <c r="D44" s="3">
        <v>0</v>
      </c>
    </row>
    <row r="45" spans="1:4" x14ac:dyDescent="0.3">
      <c r="A45" s="8">
        <v>229</v>
      </c>
      <c r="B45" s="3" t="s">
        <v>34</v>
      </c>
      <c r="C45" s="3">
        <v>0</v>
      </c>
      <c r="D45" s="3">
        <v>0</v>
      </c>
    </row>
    <row r="46" spans="1:4" x14ac:dyDescent="0.3">
      <c r="A46" s="8">
        <v>230</v>
      </c>
      <c r="B46" s="3" t="s">
        <v>37</v>
      </c>
      <c r="C46" s="3">
        <v>0</v>
      </c>
      <c r="D46" s="3">
        <v>0</v>
      </c>
    </row>
    <row r="47" spans="1:4" s="19" customFormat="1" x14ac:dyDescent="0.3">
      <c r="A47" s="17">
        <v>240</v>
      </c>
      <c r="B47" s="18" t="s">
        <v>38</v>
      </c>
      <c r="C47" s="18">
        <f>C48-C49</f>
        <v>0</v>
      </c>
      <c r="D47" s="18">
        <f>D48-D49</f>
        <v>0</v>
      </c>
    </row>
    <row r="48" spans="1:4" x14ac:dyDescent="0.3">
      <c r="A48" s="8">
        <v>241</v>
      </c>
      <c r="B48" s="6" t="s">
        <v>33</v>
      </c>
      <c r="C48" s="3">
        <v>0</v>
      </c>
      <c r="D48" s="3">
        <v>0</v>
      </c>
    </row>
    <row r="49" spans="1:4" x14ac:dyDescent="0.3">
      <c r="A49" s="8">
        <v>242</v>
      </c>
      <c r="B49" s="3" t="s">
        <v>34</v>
      </c>
      <c r="C49" s="3">
        <v>0</v>
      </c>
      <c r="D49" s="3">
        <v>0</v>
      </c>
    </row>
    <row r="50" spans="1:4" s="19" customFormat="1" x14ac:dyDescent="0.3">
      <c r="A50" s="17">
        <v>250</v>
      </c>
      <c r="B50" s="18" t="s">
        <v>39</v>
      </c>
      <c r="C50" s="18">
        <f>C51+C52+C53+C54</f>
        <v>0</v>
      </c>
      <c r="D50" s="18">
        <f>D51+D52+D53+D54</f>
        <v>0</v>
      </c>
    </row>
    <row r="51" spans="1:4" x14ac:dyDescent="0.3">
      <c r="A51" s="8">
        <v>251</v>
      </c>
      <c r="B51" s="3" t="s">
        <v>40</v>
      </c>
      <c r="C51" s="3">
        <v>0</v>
      </c>
      <c r="D51" s="3">
        <v>0</v>
      </c>
    </row>
    <row r="52" spans="1:4" x14ac:dyDescent="0.3">
      <c r="A52" s="8">
        <v>252</v>
      </c>
      <c r="B52" s="3" t="s">
        <v>41</v>
      </c>
      <c r="C52" s="3">
        <v>0</v>
      </c>
      <c r="D52" s="3">
        <v>0</v>
      </c>
    </row>
    <row r="53" spans="1:4" x14ac:dyDescent="0.3">
      <c r="A53" s="8">
        <v>258</v>
      </c>
      <c r="B53" s="3" t="s">
        <v>42</v>
      </c>
      <c r="C53" s="3">
        <v>0</v>
      </c>
      <c r="D53" s="3">
        <v>0</v>
      </c>
    </row>
    <row r="54" spans="1:4" x14ac:dyDescent="0.3">
      <c r="A54" s="8">
        <v>259</v>
      </c>
      <c r="B54" s="3" t="s">
        <v>43</v>
      </c>
      <c r="C54" s="3">
        <v>0</v>
      </c>
      <c r="D54" s="3">
        <v>0</v>
      </c>
    </row>
    <row r="55" spans="1:4" s="19" customFormat="1" x14ac:dyDescent="0.3">
      <c r="A55" s="17">
        <v>260</v>
      </c>
      <c r="B55" s="18" t="s">
        <v>44</v>
      </c>
      <c r="C55" s="18">
        <f>C56+C57+C58</f>
        <v>0</v>
      </c>
      <c r="D55" s="18">
        <f>D56+D57+D58</f>
        <v>0</v>
      </c>
    </row>
    <row r="56" spans="1:4" x14ac:dyDescent="0.3">
      <c r="A56" s="8">
        <v>261</v>
      </c>
      <c r="B56" s="3" t="s">
        <v>45</v>
      </c>
      <c r="C56" s="3">
        <v>0</v>
      </c>
      <c r="D56" s="3">
        <v>0</v>
      </c>
    </row>
    <row r="57" spans="1:4" x14ac:dyDescent="0.3">
      <c r="A57" s="8">
        <v>262</v>
      </c>
      <c r="B57" s="3" t="s">
        <v>46</v>
      </c>
      <c r="C57" s="3">
        <v>0</v>
      </c>
      <c r="D57" s="3">
        <v>0</v>
      </c>
    </row>
    <row r="58" spans="1:4" x14ac:dyDescent="0.3">
      <c r="A58" s="8">
        <v>268</v>
      </c>
      <c r="B58" s="3" t="s">
        <v>47</v>
      </c>
      <c r="C58" s="3">
        <v>0</v>
      </c>
      <c r="D58" s="3">
        <v>0</v>
      </c>
    </row>
    <row r="59" spans="1:4" s="2" customFormat="1" x14ac:dyDescent="0.3">
      <c r="A59" s="11">
        <v>270</v>
      </c>
      <c r="B59" s="4" t="s">
        <v>48</v>
      </c>
      <c r="C59" s="4">
        <f>C7+C29</f>
        <v>0</v>
      </c>
      <c r="D59" s="4">
        <f>D7+D29</f>
        <v>0</v>
      </c>
    </row>
    <row r="60" spans="1:4" s="2" customFormat="1" x14ac:dyDescent="0.3">
      <c r="A60" s="11">
        <v>300</v>
      </c>
      <c r="B60" s="4" t="s">
        <v>49</v>
      </c>
      <c r="C60" s="4">
        <f>C61+C73</f>
        <v>0</v>
      </c>
      <c r="D60" s="4">
        <f>D61+D73</f>
        <v>0</v>
      </c>
    </row>
    <row r="61" spans="1:4" s="19" customFormat="1" x14ac:dyDescent="0.3">
      <c r="A61" s="17">
        <v>310</v>
      </c>
      <c r="B61" s="18" t="s">
        <v>50</v>
      </c>
      <c r="C61" s="18">
        <f>C62+C63+C64+C65+C66+C67+C68+C69+C70+C71+C72</f>
        <v>0</v>
      </c>
      <c r="D61" s="18">
        <f>D62+D63+D64+D65+D66+D67+D68+D69+D70+D71+D72</f>
        <v>0</v>
      </c>
    </row>
    <row r="62" spans="1:4" x14ac:dyDescent="0.3">
      <c r="A62" s="8">
        <v>311</v>
      </c>
      <c r="B62" s="3" t="s">
        <v>51</v>
      </c>
      <c r="C62" s="3">
        <v>0</v>
      </c>
      <c r="D62" s="3">
        <v>0</v>
      </c>
    </row>
    <row r="63" spans="1:4" x14ac:dyDescent="0.3">
      <c r="A63" s="8">
        <v>312</v>
      </c>
      <c r="B63" s="3" t="s">
        <v>52</v>
      </c>
      <c r="C63" s="3">
        <v>0</v>
      </c>
      <c r="D63" s="3">
        <v>0</v>
      </c>
    </row>
    <row r="64" spans="1:4" x14ac:dyDescent="0.3">
      <c r="A64" s="8">
        <v>313</v>
      </c>
      <c r="B64" s="3" t="s">
        <v>53</v>
      </c>
      <c r="C64" s="3">
        <v>0</v>
      </c>
      <c r="D64" s="3">
        <v>0</v>
      </c>
    </row>
    <row r="65" spans="1:4" x14ac:dyDescent="0.3">
      <c r="A65" s="8">
        <v>314</v>
      </c>
      <c r="B65" s="3" t="s">
        <v>54</v>
      </c>
      <c r="C65" s="3">
        <v>0</v>
      </c>
      <c r="D65" s="3">
        <v>0</v>
      </c>
    </row>
    <row r="66" spans="1:4" x14ac:dyDescent="0.3">
      <c r="A66" s="8">
        <v>315</v>
      </c>
      <c r="B66" s="3" t="s">
        <v>55</v>
      </c>
      <c r="C66" s="3">
        <v>0</v>
      </c>
      <c r="D66" s="3">
        <v>0</v>
      </c>
    </row>
    <row r="67" spans="1:4" x14ac:dyDescent="0.3">
      <c r="A67" s="8">
        <v>316</v>
      </c>
      <c r="B67" s="3" t="s">
        <v>56</v>
      </c>
      <c r="C67" s="3">
        <v>0</v>
      </c>
      <c r="D67" s="3">
        <v>0</v>
      </c>
    </row>
    <row r="68" spans="1:4" x14ac:dyDescent="0.3">
      <c r="A68" s="8">
        <v>317</v>
      </c>
      <c r="B68" s="3" t="s">
        <v>57</v>
      </c>
      <c r="C68" s="3">
        <v>0</v>
      </c>
      <c r="D68" s="3">
        <v>0</v>
      </c>
    </row>
    <row r="69" spans="1:4" x14ac:dyDescent="0.3">
      <c r="A69" s="8">
        <v>318</v>
      </c>
      <c r="B69" s="3" t="s">
        <v>58</v>
      </c>
      <c r="C69" s="3">
        <v>0</v>
      </c>
      <c r="D69" s="3">
        <v>0</v>
      </c>
    </row>
    <row r="70" spans="1:4" x14ac:dyDescent="0.3">
      <c r="A70" s="8">
        <v>319</v>
      </c>
      <c r="B70" s="3" t="s">
        <v>59</v>
      </c>
      <c r="C70" s="3">
        <v>0</v>
      </c>
      <c r="D70" s="3">
        <v>0</v>
      </c>
    </row>
    <row r="71" spans="1:4" x14ac:dyDescent="0.3">
      <c r="A71" s="8">
        <v>320</v>
      </c>
      <c r="B71" s="3" t="s">
        <v>60</v>
      </c>
      <c r="C71" s="3">
        <v>0</v>
      </c>
      <c r="D71" s="3">
        <v>0</v>
      </c>
    </row>
    <row r="72" spans="1:4" x14ac:dyDescent="0.3">
      <c r="A72" s="8">
        <v>323</v>
      </c>
      <c r="B72" s="3" t="s">
        <v>61</v>
      </c>
      <c r="C72" s="3">
        <v>0</v>
      </c>
      <c r="D72" s="3">
        <v>0</v>
      </c>
    </row>
    <row r="73" spans="1:4" s="19" customFormat="1" x14ac:dyDescent="0.3">
      <c r="A73" s="17">
        <v>330</v>
      </c>
      <c r="B73" s="18" t="s">
        <v>62</v>
      </c>
      <c r="C73" s="18">
        <f>C74+C75+C76+C77+C78+C79+C80+C81+C82</f>
        <v>0</v>
      </c>
      <c r="D73" s="18">
        <f>D74+D75+D76+D77+D78+D79+D80+D81+D82</f>
        <v>0</v>
      </c>
    </row>
    <row r="74" spans="1:4" x14ac:dyDescent="0.3">
      <c r="A74" s="8">
        <v>331</v>
      </c>
      <c r="B74" s="3" t="s">
        <v>63</v>
      </c>
      <c r="C74" s="3">
        <v>0</v>
      </c>
      <c r="D74" s="3">
        <v>0</v>
      </c>
    </row>
    <row r="75" spans="1:4" x14ac:dyDescent="0.3">
      <c r="A75" s="8">
        <v>332</v>
      </c>
      <c r="B75" s="3" t="s">
        <v>64</v>
      </c>
      <c r="C75" s="3">
        <v>0</v>
      </c>
      <c r="D75" s="3">
        <v>0</v>
      </c>
    </row>
    <row r="76" spans="1:4" x14ac:dyDescent="0.3">
      <c r="A76" s="8">
        <v>333</v>
      </c>
      <c r="B76" s="3" t="s">
        <v>65</v>
      </c>
      <c r="C76" s="3">
        <v>0</v>
      </c>
      <c r="D76" s="3">
        <v>0</v>
      </c>
    </row>
    <row r="77" spans="1:4" x14ac:dyDescent="0.3">
      <c r="A77" s="8">
        <v>334</v>
      </c>
      <c r="B77" s="3" t="s">
        <v>66</v>
      </c>
      <c r="C77" s="3">
        <v>0</v>
      </c>
      <c r="D77" s="3">
        <v>0</v>
      </c>
    </row>
    <row r="78" spans="1:4" x14ac:dyDescent="0.3">
      <c r="A78" s="8">
        <v>335</v>
      </c>
      <c r="B78" s="3" t="s">
        <v>67</v>
      </c>
      <c r="C78" s="3">
        <v>0</v>
      </c>
      <c r="D78" s="3">
        <v>0</v>
      </c>
    </row>
    <row r="79" spans="1:4" x14ac:dyDescent="0.3">
      <c r="A79" s="8">
        <v>336</v>
      </c>
      <c r="B79" s="3" t="s">
        <v>68</v>
      </c>
      <c r="C79" s="3">
        <v>0</v>
      </c>
      <c r="D79" s="3">
        <v>0</v>
      </c>
    </row>
    <row r="80" spans="1:4" x14ac:dyDescent="0.3">
      <c r="A80" s="8">
        <v>337</v>
      </c>
      <c r="B80" s="3" t="s">
        <v>69</v>
      </c>
      <c r="C80" s="3">
        <v>0</v>
      </c>
      <c r="D80" s="3">
        <v>0</v>
      </c>
    </row>
    <row r="81" spans="1:4" x14ac:dyDescent="0.3">
      <c r="A81" s="8">
        <v>338</v>
      </c>
      <c r="B81" s="3" t="s">
        <v>70</v>
      </c>
      <c r="C81" s="3">
        <v>0</v>
      </c>
      <c r="D81" s="3">
        <v>0</v>
      </c>
    </row>
    <row r="82" spans="1:4" x14ac:dyDescent="0.3">
      <c r="A82" s="8">
        <v>339</v>
      </c>
      <c r="B82" s="3" t="s">
        <v>71</v>
      </c>
      <c r="C82" s="3">
        <v>0</v>
      </c>
      <c r="D82" s="3">
        <v>0</v>
      </c>
    </row>
    <row r="83" spans="1:4" s="2" customFormat="1" x14ac:dyDescent="0.3">
      <c r="A83" s="11">
        <v>400</v>
      </c>
      <c r="B83" s="4" t="s">
        <v>72</v>
      </c>
      <c r="C83" s="4">
        <f>C84+C97</f>
        <v>0</v>
      </c>
      <c r="D83" s="4">
        <f>D84+D97</f>
        <v>0</v>
      </c>
    </row>
    <row r="84" spans="1:4" s="25" customFormat="1" x14ac:dyDescent="0.3">
      <c r="A84" s="23">
        <v>410</v>
      </c>
      <c r="B84" s="24" t="s">
        <v>73</v>
      </c>
      <c r="C84" s="24">
        <f>C85+C86+C87+C88+C89+C90+C91+C92+C93+C94+C95+C96</f>
        <v>0</v>
      </c>
      <c r="D84" s="24">
        <f>D85+D86+D87+D88+D89+D90+D91+D92+D93+D94+D95+D96</f>
        <v>0</v>
      </c>
    </row>
    <row r="85" spans="1:4" x14ac:dyDescent="0.3">
      <c r="A85" s="8">
        <v>411</v>
      </c>
      <c r="B85" s="3" t="s">
        <v>74</v>
      </c>
      <c r="C85" s="3">
        <v>0</v>
      </c>
      <c r="D85" s="3">
        <v>0</v>
      </c>
    </row>
    <row r="86" spans="1:4" x14ac:dyDescent="0.3">
      <c r="A86" s="8">
        <v>412</v>
      </c>
      <c r="B86" s="3" t="s">
        <v>75</v>
      </c>
      <c r="C86" s="3">
        <v>0</v>
      </c>
      <c r="D86" s="3">
        <v>0</v>
      </c>
    </row>
    <row r="87" spans="1:4" x14ac:dyDescent="0.3">
      <c r="A87" s="8">
        <v>413</v>
      </c>
      <c r="B87" s="3" t="s">
        <v>76</v>
      </c>
      <c r="C87" s="3">
        <v>0</v>
      </c>
      <c r="D87" s="3">
        <v>0</v>
      </c>
    </row>
    <row r="88" spans="1:4" x14ac:dyDescent="0.3">
      <c r="A88" s="8">
        <v>414</v>
      </c>
      <c r="B88" s="3" t="s">
        <v>77</v>
      </c>
      <c r="C88" s="3">
        <v>0</v>
      </c>
      <c r="D88" s="3">
        <v>0</v>
      </c>
    </row>
    <row r="89" spans="1:4" x14ac:dyDescent="0.3">
      <c r="A89" s="8">
        <v>415</v>
      </c>
      <c r="B89" s="3" t="s">
        <v>78</v>
      </c>
      <c r="C89" s="3">
        <v>0</v>
      </c>
      <c r="D89" s="3">
        <v>0</v>
      </c>
    </row>
    <row r="90" spans="1:4" x14ac:dyDescent="0.3">
      <c r="A90" s="8">
        <v>416</v>
      </c>
      <c r="B90" s="3" t="s">
        <v>79</v>
      </c>
      <c r="C90" s="3">
        <v>0</v>
      </c>
      <c r="D90" s="3">
        <v>0</v>
      </c>
    </row>
    <row r="91" spans="1:4" x14ac:dyDescent="0.3">
      <c r="A91" s="8">
        <v>417</v>
      </c>
      <c r="B91" s="3" t="s">
        <v>80</v>
      </c>
      <c r="C91" s="3">
        <v>0</v>
      </c>
      <c r="D91" s="3">
        <v>0</v>
      </c>
    </row>
    <row r="92" spans="1:4" x14ac:dyDescent="0.3">
      <c r="A92" s="8">
        <v>418</v>
      </c>
      <c r="B92" s="3" t="s">
        <v>81</v>
      </c>
      <c r="C92" s="3">
        <v>0</v>
      </c>
      <c r="D92" s="3">
        <v>0</v>
      </c>
    </row>
    <row r="93" spans="1:4" x14ac:dyDescent="0.3">
      <c r="A93" s="8">
        <v>419</v>
      </c>
      <c r="B93" s="3" t="s">
        <v>82</v>
      </c>
      <c r="C93" s="3">
        <v>0</v>
      </c>
      <c r="D93" s="3">
        <v>0</v>
      </c>
    </row>
    <row r="94" spans="1:4" x14ac:dyDescent="0.3">
      <c r="A94" s="8">
        <v>420</v>
      </c>
      <c r="B94" s="3" t="s">
        <v>83</v>
      </c>
      <c r="C94" s="3">
        <v>0</v>
      </c>
      <c r="D94" s="3">
        <v>0</v>
      </c>
    </row>
    <row r="95" spans="1:4" x14ac:dyDescent="0.3">
      <c r="A95" s="8">
        <v>421</v>
      </c>
      <c r="B95" s="3" t="s">
        <v>84</v>
      </c>
      <c r="C95" s="3">
        <v>0</v>
      </c>
      <c r="D95" s="3">
        <v>0</v>
      </c>
    </row>
    <row r="96" spans="1:4" x14ac:dyDescent="0.3">
      <c r="A96" s="8">
        <v>422</v>
      </c>
      <c r="B96" s="3" t="s">
        <v>85</v>
      </c>
      <c r="C96" s="3">
        <v>0</v>
      </c>
      <c r="D96" s="3">
        <v>0</v>
      </c>
    </row>
    <row r="97" spans="1:4" s="25" customFormat="1" x14ac:dyDescent="0.3">
      <c r="A97" s="23">
        <v>430</v>
      </c>
      <c r="B97" s="24" t="s">
        <v>86</v>
      </c>
      <c r="C97" s="24">
        <f>C98+C99+C100+C101</f>
        <v>0</v>
      </c>
      <c r="D97" s="24">
        <f>D98+D99+D100+D101</f>
        <v>0</v>
      </c>
    </row>
    <row r="98" spans="1:4" x14ac:dyDescent="0.3">
      <c r="A98" s="8">
        <v>431</v>
      </c>
      <c r="B98" s="3" t="s">
        <v>87</v>
      </c>
      <c r="C98" s="3">
        <v>0</v>
      </c>
      <c r="D98" s="3">
        <v>0</v>
      </c>
    </row>
    <row r="99" spans="1:4" x14ac:dyDescent="0.3">
      <c r="A99" s="8">
        <v>432</v>
      </c>
      <c r="B99" s="3" t="s">
        <v>88</v>
      </c>
      <c r="C99" s="3">
        <v>0</v>
      </c>
      <c r="D99" s="3">
        <v>0</v>
      </c>
    </row>
    <row r="100" spans="1:4" x14ac:dyDescent="0.3">
      <c r="A100" s="8">
        <v>433</v>
      </c>
      <c r="B100" s="3" t="s">
        <v>89</v>
      </c>
      <c r="C100" s="3">
        <v>0</v>
      </c>
      <c r="D100" s="3">
        <v>0</v>
      </c>
    </row>
    <row r="101" spans="1:4" x14ac:dyDescent="0.3">
      <c r="A101" s="8">
        <v>439</v>
      </c>
      <c r="B101" s="3" t="s">
        <v>90</v>
      </c>
      <c r="C101" s="3">
        <v>0</v>
      </c>
      <c r="D101" s="3">
        <v>0</v>
      </c>
    </row>
    <row r="102" spans="1:4" s="2" customFormat="1" x14ac:dyDescent="0.3">
      <c r="A102" s="11">
        <v>440</v>
      </c>
      <c r="B102" s="4" t="s">
        <v>91</v>
      </c>
      <c r="C102" s="4">
        <f>C60+C83</f>
        <v>0</v>
      </c>
      <c r="D102" s="4">
        <f>D60+D83</f>
        <v>0</v>
      </c>
    </row>
    <row r="103" spans="1:4" s="2" customFormat="1" x14ac:dyDescent="0.3">
      <c r="A103" s="11">
        <v>500</v>
      </c>
      <c r="B103" s="4" t="s">
        <v>92</v>
      </c>
      <c r="C103" s="4">
        <f>C59-C102</f>
        <v>0</v>
      </c>
      <c r="D103" s="4">
        <f>D59-D102</f>
        <v>0</v>
      </c>
    </row>
  </sheetData>
  <mergeCells count="4">
    <mergeCell ref="B1:D1"/>
    <mergeCell ref="B2:D2"/>
    <mergeCell ref="B3:D3"/>
    <mergeCell ref="B4:D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5"/>
  <sheetViews>
    <sheetView workbookViewId="0">
      <selection activeCell="D7" sqref="D7"/>
    </sheetView>
  </sheetViews>
  <sheetFormatPr defaultRowHeight="18.75" x14ac:dyDescent="0.3"/>
  <cols>
    <col min="1" max="1" width="20.85546875" style="1" bestFit="1" customWidth="1"/>
    <col min="2" max="2" width="85.42578125" style="1" customWidth="1"/>
    <col min="3" max="3" width="18.28515625" style="1" customWidth="1"/>
    <col min="4" max="4" width="16.7109375" style="1" customWidth="1"/>
    <col min="5" max="16384" width="9.140625" style="1"/>
  </cols>
  <sheetData>
    <row r="1" spans="1:4" x14ac:dyDescent="0.3">
      <c r="A1" s="14" t="s">
        <v>184</v>
      </c>
      <c r="B1" s="26" t="s">
        <v>192</v>
      </c>
      <c r="C1" s="26"/>
      <c r="D1" s="26"/>
    </row>
    <row r="2" spans="1:4" x14ac:dyDescent="0.3">
      <c r="A2" s="14" t="s">
        <v>187</v>
      </c>
      <c r="B2" s="26" t="s">
        <v>193</v>
      </c>
      <c r="C2" s="26"/>
      <c r="D2" s="26"/>
    </row>
    <row r="3" spans="1:4" x14ac:dyDescent="0.3">
      <c r="A3" s="14" t="s">
        <v>186</v>
      </c>
      <c r="B3" s="26" t="s">
        <v>194</v>
      </c>
      <c r="C3" s="26"/>
      <c r="D3" s="26"/>
    </row>
    <row r="4" spans="1:4" x14ac:dyDescent="0.3">
      <c r="A4" s="14" t="s">
        <v>185</v>
      </c>
      <c r="B4" s="26" t="s">
        <v>195</v>
      </c>
      <c r="C4" s="26"/>
      <c r="D4" s="26"/>
    </row>
    <row r="6" spans="1:4" x14ac:dyDescent="0.3">
      <c r="A6" s="9" t="s">
        <v>0</v>
      </c>
      <c r="B6" s="9" t="s">
        <v>1</v>
      </c>
      <c r="C6" s="9" t="str">
        <f ca="1">"Năm "&amp;YEAR(TODAY())-2</f>
        <v>Năm 2015</v>
      </c>
      <c r="D6" s="9" t="str">
        <f ca="1">"Năm "&amp;YEAR(TODAY())-1</f>
        <v>Năm 2016</v>
      </c>
    </row>
    <row r="7" spans="1:4" x14ac:dyDescent="0.3">
      <c r="A7" s="12" t="s">
        <v>93</v>
      </c>
      <c r="B7" s="3" t="s">
        <v>94</v>
      </c>
      <c r="C7" s="3">
        <v>0</v>
      </c>
      <c r="D7" s="3">
        <v>0</v>
      </c>
    </row>
    <row r="8" spans="1:4" x14ac:dyDescent="0.3">
      <c r="A8" s="12" t="s">
        <v>95</v>
      </c>
      <c r="B8" s="3" t="s">
        <v>96</v>
      </c>
      <c r="C8" s="3">
        <v>0</v>
      </c>
      <c r="D8" s="3">
        <v>0</v>
      </c>
    </row>
    <row r="9" spans="1:4" s="2" customFormat="1" x14ac:dyDescent="0.3">
      <c r="A9" s="11">
        <v>10</v>
      </c>
      <c r="B9" s="4" t="s">
        <v>97</v>
      </c>
      <c r="C9" s="5">
        <f>C7-C8</f>
        <v>0</v>
      </c>
      <c r="D9" s="5">
        <f>D7-D8</f>
        <v>0</v>
      </c>
    </row>
    <row r="10" spans="1:4" x14ac:dyDescent="0.3">
      <c r="A10" s="8">
        <v>11</v>
      </c>
      <c r="B10" s="3" t="s">
        <v>98</v>
      </c>
      <c r="C10" s="3">
        <v>0</v>
      </c>
      <c r="D10" s="3">
        <v>0</v>
      </c>
    </row>
    <row r="11" spans="1:4" s="2" customFormat="1" x14ac:dyDescent="0.3">
      <c r="A11" s="11">
        <v>20</v>
      </c>
      <c r="B11" s="4" t="s">
        <v>99</v>
      </c>
      <c r="C11" s="5">
        <f>C9-C10</f>
        <v>0</v>
      </c>
      <c r="D11" s="5">
        <f>D9-D10</f>
        <v>0</v>
      </c>
    </row>
    <row r="12" spans="1:4" x14ac:dyDescent="0.3">
      <c r="A12" s="8">
        <v>21</v>
      </c>
      <c r="B12" s="3" t="s">
        <v>100</v>
      </c>
      <c r="C12" s="3">
        <v>0</v>
      </c>
      <c r="D12" s="3">
        <v>0</v>
      </c>
    </row>
    <row r="13" spans="1:4" x14ac:dyDescent="0.3">
      <c r="A13" s="8">
        <v>22</v>
      </c>
      <c r="B13" s="3" t="s">
        <v>101</v>
      </c>
      <c r="C13" s="3">
        <v>0</v>
      </c>
      <c r="D13" s="3">
        <v>0</v>
      </c>
    </row>
    <row r="14" spans="1:4" x14ac:dyDescent="0.3">
      <c r="A14" s="8">
        <v>23</v>
      </c>
      <c r="B14" s="6" t="s">
        <v>102</v>
      </c>
      <c r="C14" s="3">
        <v>0</v>
      </c>
      <c r="D14" s="3">
        <v>0</v>
      </c>
    </row>
    <row r="15" spans="1:4" x14ac:dyDescent="0.3">
      <c r="A15" s="8">
        <v>24</v>
      </c>
      <c r="B15" s="3" t="s">
        <v>103</v>
      </c>
      <c r="C15" s="3">
        <v>0</v>
      </c>
      <c r="D15" s="3">
        <v>0</v>
      </c>
    </row>
    <row r="16" spans="1:4" x14ac:dyDescent="0.3">
      <c r="A16" s="8">
        <v>25</v>
      </c>
      <c r="B16" s="3" t="s">
        <v>104</v>
      </c>
      <c r="C16" s="3">
        <v>0</v>
      </c>
      <c r="D16" s="3">
        <v>0</v>
      </c>
    </row>
    <row r="17" spans="1:4" s="2" customFormat="1" x14ac:dyDescent="0.3">
      <c r="A17" s="11">
        <v>30</v>
      </c>
      <c r="B17" s="4" t="s">
        <v>105</v>
      </c>
      <c r="C17" s="5">
        <f>C11+(C12-C13)-(C15+C16)</f>
        <v>0</v>
      </c>
      <c r="D17" s="5">
        <f>D11+(D12-D13)-(D15+D16)</f>
        <v>0</v>
      </c>
    </row>
    <row r="18" spans="1:4" x14ac:dyDescent="0.3">
      <c r="A18" s="8">
        <v>31</v>
      </c>
      <c r="B18" s="3" t="s">
        <v>106</v>
      </c>
      <c r="C18" s="7">
        <v>0</v>
      </c>
      <c r="D18" s="7">
        <v>0</v>
      </c>
    </row>
    <row r="19" spans="1:4" x14ac:dyDescent="0.3">
      <c r="A19" s="8">
        <v>32</v>
      </c>
      <c r="B19" s="3" t="s">
        <v>107</v>
      </c>
      <c r="C19" s="3">
        <v>0</v>
      </c>
      <c r="D19" s="3">
        <v>0</v>
      </c>
    </row>
    <row r="20" spans="1:4" s="2" customFormat="1" x14ac:dyDescent="0.3">
      <c r="A20" s="11">
        <v>40</v>
      </c>
      <c r="B20" s="4" t="s">
        <v>108</v>
      </c>
      <c r="C20" s="5">
        <f>C18-C19</f>
        <v>0</v>
      </c>
      <c r="D20" s="5">
        <f>D18-D19</f>
        <v>0</v>
      </c>
    </row>
    <row r="21" spans="1:4" s="2" customFormat="1" x14ac:dyDescent="0.3">
      <c r="A21" s="11">
        <v>50</v>
      </c>
      <c r="B21" s="4" t="s">
        <v>109</v>
      </c>
      <c r="C21" s="5">
        <f>C17+C20</f>
        <v>0</v>
      </c>
      <c r="D21" s="5">
        <f>D17+D20</f>
        <v>0</v>
      </c>
    </row>
    <row r="22" spans="1:4" x14ac:dyDescent="0.3">
      <c r="A22" s="8">
        <v>51</v>
      </c>
      <c r="B22" s="3" t="s">
        <v>110</v>
      </c>
      <c r="C22" s="3">
        <v>0</v>
      </c>
      <c r="D22" s="3">
        <v>0</v>
      </c>
    </row>
    <row r="23" spans="1:4" x14ac:dyDescent="0.3">
      <c r="A23" s="8">
        <v>52</v>
      </c>
      <c r="B23" s="3" t="s">
        <v>111</v>
      </c>
      <c r="C23" s="3">
        <v>0</v>
      </c>
      <c r="D23" s="3">
        <v>0</v>
      </c>
    </row>
    <row r="24" spans="1:4" s="2" customFormat="1" x14ac:dyDescent="0.3">
      <c r="A24" s="11">
        <v>60</v>
      </c>
      <c r="B24" s="4" t="s">
        <v>183</v>
      </c>
      <c r="C24" s="5">
        <f>C21-C22-C23</f>
        <v>0</v>
      </c>
      <c r="D24" s="5">
        <f>D21-D22-D23</f>
        <v>0</v>
      </c>
    </row>
    <row r="25" spans="1:4" x14ac:dyDescent="0.3">
      <c r="A25" s="8">
        <v>70</v>
      </c>
      <c r="B25" s="3" t="s">
        <v>112</v>
      </c>
      <c r="C25" s="3">
        <v>0</v>
      </c>
      <c r="D25" s="3">
        <v>0</v>
      </c>
    </row>
  </sheetData>
  <mergeCells count="4">
    <mergeCell ref="B1:D1"/>
    <mergeCell ref="B2:D2"/>
    <mergeCell ref="B3:D3"/>
    <mergeCell ref="B4:D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6"/>
  <sheetViews>
    <sheetView workbookViewId="0">
      <selection activeCell="D9" sqref="D9"/>
    </sheetView>
  </sheetViews>
  <sheetFormatPr defaultRowHeight="18.75" x14ac:dyDescent="0.3"/>
  <cols>
    <col min="1" max="1" width="20.85546875" style="1" bestFit="1" customWidth="1"/>
    <col min="2" max="2" width="90.28515625" style="1" customWidth="1"/>
    <col min="3" max="3" width="14" style="1" customWidth="1"/>
    <col min="4" max="4" width="14.85546875" style="1" customWidth="1"/>
    <col min="5" max="16384" width="9.140625" style="1"/>
  </cols>
  <sheetData>
    <row r="1" spans="1:4" x14ac:dyDescent="0.3">
      <c r="A1" s="14" t="s">
        <v>184</v>
      </c>
      <c r="B1" s="26" t="s">
        <v>196</v>
      </c>
      <c r="C1" s="26"/>
      <c r="D1" s="26"/>
    </row>
    <row r="2" spans="1:4" x14ac:dyDescent="0.3">
      <c r="A2" s="14" t="s">
        <v>187</v>
      </c>
      <c r="B2" s="26" t="s">
        <v>197</v>
      </c>
      <c r="C2" s="26"/>
      <c r="D2" s="26"/>
    </row>
    <row r="3" spans="1:4" x14ac:dyDescent="0.3">
      <c r="A3" s="14" t="s">
        <v>186</v>
      </c>
      <c r="B3" s="26" t="s">
        <v>198</v>
      </c>
      <c r="C3" s="26"/>
      <c r="D3" s="26"/>
    </row>
    <row r="4" spans="1:4" x14ac:dyDescent="0.3">
      <c r="A4" s="14" t="s">
        <v>185</v>
      </c>
      <c r="B4" s="26" t="s">
        <v>199</v>
      </c>
      <c r="C4" s="26"/>
      <c r="D4" s="26"/>
    </row>
    <row r="6" spans="1:4" x14ac:dyDescent="0.3">
      <c r="A6" s="9" t="s">
        <v>0</v>
      </c>
      <c r="B6" s="9" t="s">
        <v>1</v>
      </c>
      <c r="C6" s="9" t="str">
        <f ca="1">"Năm "&amp;YEAR(TODAY())-2</f>
        <v>Năm 2015</v>
      </c>
      <c r="D6" s="9" t="str">
        <f ca="1">"Năm "&amp;YEAR(TODAY())-1</f>
        <v>Năm 2016</v>
      </c>
    </row>
    <row r="7" spans="1:4" s="2" customFormat="1" x14ac:dyDescent="0.3">
      <c r="A7" s="10" t="s">
        <v>113</v>
      </c>
      <c r="B7" s="4" t="s">
        <v>114</v>
      </c>
      <c r="C7" s="4"/>
      <c r="D7" s="4"/>
    </row>
    <row r="8" spans="1:4" x14ac:dyDescent="0.3">
      <c r="A8" s="12" t="s">
        <v>93</v>
      </c>
      <c r="B8" s="3" t="s">
        <v>115</v>
      </c>
      <c r="C8" s="3">
        <v>0</v>
      </c>
      <c r="D8" s="3">
        <v>0</v>
      </c>
    </row>
    <row r="9" spans="1:4" x14ac:dyDescent="0.3">
      <c r="A9" s="12" t="s">
        <v>95</v>
      </c>
      <c r="B9" s="3" t="s">
        <v>116</v>
      </c>
      <c r="C9" s="3">
        <v>0</v>
      </c>
      <c r="D9" s="3">
        <v>0</v>
      </c>
    </row>
    <row r="10" spans="1:4" x14ac:dyDescent="0.3">
      <c r="A10" s="12" t="s">
        <v>117</v>
      </c>
      <c r="B10" s="3" t="s">
        <v>118</v>
      </c>
      <c r="C10" s="3">
        <v>0</v>
      </c>
      <c r="D10" s="3">
        <v>0</v>
      </c>
    </row>
    <row r="11" spans="1:4" x14ac:dyDescent="0.3">
      <c r="A11" s="12" t="s">
        <v>119</v>
      </c>
      <c r="B11" s="3" t="s">
        <v>120</v>
      </c>
      <c r="C11" s="3">
        <v>0</v>
      </c>
      <c r="D11" s="3">
        <v>0</v>
      </c>
    </row>
    <row r="12" spans="1:4" x14ac:dyDescent="0.3">
      <c r="A12" s="12" t="s">
        <v>121</v>
      </c>
      <c r="B12" s="3" t="s">
        <v>122</v>
      </c>
      <c r="C12" s="3">
        <v>0</v>
      </c>
      <c r="D12" s="3">
        <v>0</v>
      </c>
    </row>
    <row r="13" spans="1:4" x14ac:dyDescent="0.3">
      <c r="A13" s="12" t="s">
        <v>123</v>
      </c>
      <c r="B13" s="3" t="s">
        <v>124</v>
      </c>
      <c r="C13" s="3">
        <v>0</v>
      </c>
      <c r="D13" s="3">
        <v>0</v>
      </c>
    </row>
    <row r="14" spans="1:4" x14ac:dyDescent="0.3">
      <c r="A14" s="12" t="s">
        <v>125</v>
      </c>
      <c r="B14" s="3" t="s">
        <v>126</v>
      </c>
      <c r="C14" s="3">
        <v>0</v>
      </c>
      <c r="D14" s="3">
        <v>0</v>
      </c>
    </row>
    <row r="15" spans="1:4" s="2" customFormat="1" x14ac:dyDescent="0.3">
      <c r="A15" s="11">
        <v>20</v>
      </c>
      <c r="B15" s="4" t="s">
        <v>127</v>
      </c>
      <c r="C15" s="4">
        <f>C8+C9+C10+C11+C12+C13+C14</f>
        <v>0</v>
      </c>
      <c r="D15" s="4">
        <f>D8+D9+D10+D11+D12+D13+D14</f>
        <v>0</v>
      </c>
    </row>
    <row r="16" spans="1:4" s="2" customFormat="1" x14ac:dyDescent="0.3">
      <c r="A16" s="11">
        <v>200</v>
      </c>
      <c r="B16" s="4" t="s">
        <v>128</v>
      </c>
      <c r="C16" s="4"/>
      <c r="D16" s="4"/>
    </row>
    <row r="17" spans="1:4" x14ac:dyDescent="0.3">
      <c r="A17" s="8">
        <v>21</v>
      </c>
      <c r="B17" s="3" t="s">
        <v>129</v>
      </c>
      <c r="C17" s="3">
        <v>0</v>
      </c>
      <c r="D17" s="3">
        <v>0</v>
      </c>
    </row>
    <row r="18" spans="1:4" x14ac:dyDescent="0.3">
      <c r="A18" s="8">
        <v>22</v>
      </c>
      <c r="B18" s="3" t="s">
        <v>130</v>
      </c>
      <c r="C18" s="3">
        <v>0</v>
      </c>
      <c r="D18" s="3">
        <v>0</v>
      </c>
    </row>
    <row r="19" spans="1:4" x14ac:dyDescent="0.3">
      <c r="A19" s="8">
        <v>23</v>
      </c>
      <c r="B19" s="3" t="s">
        <v>131</v>
      </c>
      <c r="C19" s="3">
        <v>0</v>
      </c>
      <c r="D19" s="3">
        <v>0</v>
      </c>
    </row>
    <row r="20" spans="1:4" x14ac:dyDescent="0.3">
      <c r="A20" s="8">
        <v>24</v>
      </c>
      <c r="B20" s="3" t="s">
        <v>132</v>
      </c>
      <c r="C20" s="3">
        <v>0</v>
      </c>
      <c r="D20" s="3">
        <v>0</v>
      </c>
    </row>
    <row r="21" spans="1:4" x14ac:dyDescent="0.3">
      <c r="A21" s="8">
        <v>25</v>
      </c>
      <c r="B21" s="3" t="s">
        <v>133</v>
      </c>
      <c r="C21" s="3">
        <v>0</v>
      </c>
      <c r="D21" s="3">
        <v>0</v>
      </c>
    </row>
    <row r="22" spans="1:4" x14ac:dyDescent="0.3">
      <c r="A22" s="8">
        <v>26</v>
      </c>
      <c r="B22" s="3" t="s">
        <v>134</v>
      </c>
      <c r="C22" s="3">
        <v>0</v>
      </c>
      <c r="D22" s="3">
        <v>0</v>
      </c>
    </row>
    <row r="23" spans="1:4" x14ac:dyDescent="0.3">
      <c r="A23" s="8">
        <v>27</v>
      </c>
      <c r="B23" s="3" t="s">
        <v>135</v>
      </c>
      <c r="C23" s="3">
        <v>0</v>
      </c>
      <c r="D23" s="3">
        <v>0</v>
      </c>
    </row>
    <row r="24" spans="1:4" s="2" customFormat="1" x14ac:dyDescent="0.3">
      <c r="A24" s="11">
        <v>30</v>
      </c>
      <c r="B24" s="4" t="s">
        <v>136</v>
      </c>
      <c r="C24" s="4">
        <f>C17+C18+C19+C20+C21+C22+C23</f>
        <v>0</v>
      </c>
      <c r="D24" s="4">
        <f>D17+D18+D19+D20+D21+D22+D23</f>
        <v>0</v>
      </c>
    </row>
    <row r="25" spans="1:4" s="2" customFormat="1" x14ac:dyDescent="0.3">
      <c r="A25" s="11">
        <v>300</v>
      </c>
      <c r="B25" s="4" t="s">
        <v>137</v>
      </c>
      <c r="C25" s="4"/>
      <c r="D25" s="4"/>
    </row>
    <row r="26" spans="1:4" x14ac:dyDescent="0.3">
      <c r="A26" s="8">
        <v>31</v>
      </c>
      <c r="B26" s="3" t="s">
        <v>138</v>
      </c>
      <c r="C26" s="3">
        <v>0</v>
      </c>
      <c r="D26" s="3">
        <v>0</v>
      </c>
    </row>
    <row r="27" spans="1:4" x14ac:dyDescent="0.3">
      <c r="A27" s="8">
        <v>32</v>
      </c>
      <c r="B27" s="3" t="s">
        <v>139</v>
      </c>
      <c r="C27" s="3">
        <v>0</v>
      </c>
      <c r="D27" s="3">
        <v>0</v>
      </c>
    </row>
    <row r="28" spans="1:4" x14ac:dyDescent="0.3">
      <c r="A28" s="8">
        <v>33</v>
      </c>
      <c r="B28" s="3" t="s">
        <v>140</v>
      </c>
      <c r="C28" s="3">
        <v>0</v>
      </c>
      <c r="D28" s="3">
        <v>0</v>
      </c>
    </row>
    <row r="29" spans="1:4" x14ac:dyDescent="0.3">
      <c r="A29" s="8">
        <v>34</v>
      </c>
      <c r="B29" s="3" t="s">
        <v>141</v>
      </c>
      <c r="C29" s="3">
        <v>0</v>
      </c>
      <c r="D29" s="3">
        <v>0</v>
      </c>
    </row>
    <row r="30" spans="1:4" x14ac:dyDescent="0.3">
      <c r="A30" s="8">
        <v>35</v>
      </c>
      <c r="B30" s="3" t="s">
        <v>142</v>
      </c>
      <c r="C30" s="3">
        <v>0</v>
      </c>
      <c r="D30" s="3">
        <v>0</v>
      </c>
    </row>
    <row r="31" spans="1:4" x14ac:dyDescent="0.3">
      <c r="A31" s="8">
        <v>36</v>
      </c>
      <c r="B31" s="3" t="s">
        <v>143</v>
      </c>
      <c r="C31" s="3">
        <v>0</v>
      </c>
      <c r="D31" s="3">
        <v>0</v>
      </c>
    </row>
    <row r="32" spans="1:4" s="2" customFormat="1" x14ac:dyDescent="0.3">
      <c r="A32" s="11">
        <v>40</v>
      </c>
      <c r="B32" s="4" t="s">
        <v>144</v>
      </c>
      <c r="C32" s="4">
        <f>C26+C27+C28+C29+C30+C31</f>
        <v>0</v>
      </c>
      <c r="D32" s="4">
        <f>D26+D27+D28+D29+D30+D31</f>
        <v>0</v>
      </c>
    </row>
    <row r="33" spans="1:4" s="2" customFormat="1" x14ac:dyDescent="0.3">
      <c r="A33" s="11">
        <v>50</v>
      </c>
      <c r="B33" s="4" t="s">
        <v>145</v>
      </c>
      <c r="C33" s="4">
        <f>C15+C24+C32</f>
        <v>0</v>
      </c>
      <c r="D33" s="4">
        <f>D15+D24+D32</f>
        <v>0</v>
      </c>
    </row>
    <row r="34" spans="1:4" x14ac:dyDescent="0.3">
      <c r="A34" s="8">
        <v>60</v>
      </c>
      <c r="B34" s="3" t="s">
        <v>146</v>
      </c>
      <c r="C34" s="3">
        <v>0</v>
      </c>
      <c r="D34" s="3">
        <v>0</v>
      </c>
    </row>
    <row r="35" spans="1:4" x14ac:dyDescent="0.3">
      <c r="A35" s="8">
        <v>61</v>
      </c>
      <c r="B35" s="3" t="s">
        <v>147</v>
      </c>
      <c r="C35" s="3">
        <v>0</v>
      </c>
      <c r="D35" s="3">
        <v>0</v>
      </c>
    </row>
    <row r="36" spans="1:4" s="2" customFormat="1" x14ac:dyDescent="0.3">
      <c r="A36" s="11">
        <v>70</v>
      </c>
      <c r="B36" s="4" t="s">
        <v>148</v>
      </c>
      <c r="C36" s="4">
        <f>C33+C34+C35</f>
        <v>0</v>
      </c>
      <c r="D36" s="4">
        <f>D33+D34+D35</f>
        <v>0</v>
      </c>
    </row>
  </sheetData>
  <mergeCells count="4">
    <mergeCell ref="B1:D1"/>
    <mergeCell ref="B2:D2"/>
    <mergeCell ref="B3:D3"/>
    <mergeCell ref="B4:D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4"/>
  <sheetViews>
    <sheetView zoomScaleNormal="100" workbookViewId="0">
      <selection activeCell="C9" sqref="C9"/>
    </sheetView>
  </sheetViews>
  <sheetFormatPr defaultRowHeight="18.75" x14ac:dyDescent="0.3"/>
  <cols>
    <col min="1" max="1" width="21.7109375" style="1" bestFit="1" customWidth="1"/>
    <col min="2" max="2" width="109" style="1" customWidth="1"/>
    <col min="3" max="3" width="17.42578125" style="1" customWidth="1"/>
    <col min="4" max="4" width="18" style="1" customWidth="1"/>
    <col min="5" max="16384" width="9.140625" style="1"/>
  </cols>
  <sheetData>
    <row r="1" spans="1:4" x14ac:dyDescent="0.3">
      <c r="A1" s="14" t="s">
        <v>184</v>
      </c>
      <c r="B1" s="26" t="s">
        <v>200</v>
      </c>
      <c r="C1" s="26"/>
      <c r="D1" s="26"/>
    </row>
    <row r="2" spans="1:4" x14ac:dyDescent="0.3">
      <c r="A2" s="14" t="s">
        <v>187</v>
      </c>
      <c r="B2" s="26" t="s">
        <v>201</v>
      </c>
      <c r="C2" s="26"/>
      <c r="D2" s="26"/>
    </row>
    <row r="3" spans="1:4" x14ac:dyDescent="0.3">
      <c r="A3" s="14" t="s">
        <v>186</v>
      </c>
      <c r="B3" s="26" t="s">
        <v>202</v>
      </c>
      <c r="C3" s="26"/>
      <c r="D3" s="26"/>
    </row>
    <row r="4" spans="1:4" x14ac:dyDescent="0.3">
      <c r="A4" s="14" t="s">
        <v>185</v>
      </c>
      <c r="B4" s="26" t="s">
        <v>203</v>
      </c>
      <c r="C4" s="26"/>
      <c r="D4" s="26"/>
    </row>
    <row r="6" spans="1:4" x14ac:dyDescent="0.3">
      <c r="A6" s="9" t="s">
        <v>0</v>
      </c>
      <c r="B6" s="9" t="s">
        <v>1</v>
      </c>
      <c r="C6" s="9" t="str">
        <f ca="1">"Năm "&amp;YEAR(TODAY())-2</f>
        <v>Năm 2015</v>
      </c>
      <c r="D6" s="9" t="str">
        <f ca="1">"Năm "&amp;YEAR(TODAY())-1</f>
        <v>Năm 2016</v>
      </c>
    </row>
    <row r="7" spans="1:4" x14ac:dyDescent="0.3">
      <c r="A7" s="10" t="s">
        <v>113</v>
      </c>
      <c r="B7" s="4" t="s">
        <v>114</v>
      </c>
      <c r="C7" s="4"/>
      <c r="D7" s="4"/>
    </row>
    <row r="8" spans="1:4" x14ac:dyDescent="0.3">
      <c r="A8" s="12" t="s">
        <v>93</v>
      </c>
      <c r="B8" s="6" t="s">
        <v>149</v>
      </c>
      <c r="C8" s="3">
        <v>0</v>
      </c>
      <c r="D8" s="3">
        <v>0</v>
      </c>
    </row>
    <row r="9" spans="1:4" x14ac:dyDescent="0.3">
      <c r="A9" s="12" t="s">
        <v>95</v>
      </c>
      <c r="B9" s="6" t="s">
        <v>150</v>
      </c>
      <c r="C9" s="3">
        <v>0</v>
      </c>
      <c r="D9" s="3">
        <v>0</v>
      </c>
    </row>
    <row r="10" spans="1:4" x14ac:dyDescent="0.3">
      <c r="A10" s="12" t="s">
        <v>117</v>
      </c>
      <c r="B10" s="6" t="s">
        <v>151</v>
      </c>
      <c r="C10" s="3">
        <v>0</v>
      </c>
      <c r="D10" s="3">
        <v>0</v>
      </c>
    </row>
    <row r="11" spans="1:4" x14ac:dyDescent="0.3">
      <c r="A11" s="12" t="s">
        <v>119</v>
      </c>
      <c r="B11" s="6" t="s">
        <v>152</v>
      </c>
      <c r="C11" s="3">
        <v>0</v>
      </c>
      <c r="D11" s="3">
        <v>0</v>
      </c>
    </row>
    <row r="12" spans="1:4" x14ac:dyDescent="0.3">
      <c r="A12" s="12" t="s">
        <v>121</v>
      </c>
      <c r="B12" s="6" t="s">
        <v>153</v>
      </c>
      <c r="C12" s="3">
        <v>0</v>
      </c>
      <c r="D12" s="3">
        <v>0</v>
      </c>
    </row>
    <row r="13" spans="1:4" x14ac:dyDescent="0.3">
      <c r="A13" s="12" t="s">
        <v>123</v>
      </c>
      <c r="B13" s="6" t="s">
        <v>154</v>
      </c>
      <c r="C13" s="3">
        <v>0</v>
      </c>
      <c r="D13" s="3">
        <v>0</v>
      </c>
    </row>
    <row r="14" spans="1:4" x14ac:dyDescent="0.3">
      <c r="A14" s="10" t="s">
        <v>155</v>
      </c>
      <c r="B14" s="4" t="s">
        <v>156</v>
      </c>
      <c r="C14" s="4">
        <f>C8+C9+C10+C11+C12+C13</f>
        <v>0</v>
      </c>
      <c r="D14" s="4">
        <f>D8+D9+D10+D11+D12+D13</f>
        <v>0</v>
      </c>
    </row>
    <row r="15" spans="1:4" x14ac:dyDescent="0.3">
      <c r="A15" s="12" t="s">
        <v>157</v>
      </c>
      <c r="B15" s="6" t="s">
        <v>158</v>
      </c>
      <c r="C15" s="3">
        <v>0</v>
      </c>
      <c r="D15" s="3">
        <v>0</v>
      </c>
    </row>
    <row r="16" spans="1:4" x14ac:dyDescent="0.3">
      <c r="A16" s="8">
        <v>10</v>
      </c>
      <c r="B16" s="6" t="s">
        <v>159</v>
      </c>
      <c r="C16" s="3">
        <v>0</v>
      </c>
      <c r="D16" s="3">
        <v>0</v>
      </c>
    </row>
    <row r="17" spans="1:4" x14ac:dyDescent="0.3">
      <c r="A17" s="8">
        <v>11</v>
      </c>
      <c r="B17" s="6" t="s">
        <v>182</v>
      </c>
      <c r="C17" s="3">
        <v>0</v>
      </c>
      <c r="D17" s="3">
        <v>0</v>
      </c>
    </row>
    <row r="18" spans="1:4" x14ac:dyDescent="0.3">
      <c r="A18" s="8">
        <v>12</v>
      </c>
      <c r="B18" s="6" t="s">
        <v>160</v>
      </c>
      <c r="C18" s="3">
        <v>0</v>
      </c>
      <c r="D18" s="3">
        <v>0</v>
      </c>
    </row>
    <row r="19" spans="1:4" x14ac:dyDescent="0.3">
      <c r="A19" s="8">
        <v>13</v>
      </c>
      <c r="B19" s="6" t="s">
        <v>161</v>
      </c>
      <c r="C19" s="3">
        <v>0</v>
      </c>
      <c r="D19" s="3">
        <v>0</v>
      </c>
    </row>
    <row r="20" spans="1:4" x14ac:dyDescent="0.3">
      <c r="A20" s="8">
        <v>14</v>
      </c>
      <c r="B20" s="6" t="s">
        <v>162</v>
      </c>
      <c r="C20" s="3">
        <v>0</v>
      </c>
      <c r="D20" s="3">
        <v>0</v>
      </c>
    </row>
    <row r="21" spans="1:4" x14ac:dyDescent="0.3">
      <c r="A21" s="8">
        <v>15</v>
      </c>
      <c r="B21" s="6" t="s">
        <v>163</v>
      </c>
      <c r="C21" s="3">
        <v>0</v>
      </c>
      <c r="D21" s="3">
        <v>0</v>
      </c>
    </row>
    <row r="22" spans="1:4" x14ac:dyDescent="0.3">
      <c r="A22" s="8">
        <v>16</v>
      </c>
      <c r="B22" s="6" t="s">
        <v>164</v>
      </c>
      <c r="C22" s="3">
        <v>0</v>
      </c>
      <c r="D22" s="3">
        <v>0</v>
      </c>
    </row>
    <row r="23" spans="1:4" x14ac:dyDescent="0.3">
      <c r="A23" s="11">
        <v>20</v>
      </c>
      <c r="B23" s="4" t="s">
        <v>165</v>
      </c>
      <c r="C23" s="4">
        <f>C14+C15+C16+C17+C18+C19+C20+C21+C22</f>
        <v>0</v>
      </c>
      <c r="D23" s="4">
        <f>D14+D15+D16+D17+D18+D19+D20+D21+D22</f>
        <v>0</v>
      </c>
    </row>
    <row r="24" spans="1:4" x14ac:dyDescent="0.3">
      <c r="A24" s="11">
        <v>200</v>
      </c>
      <c r="B24" s="4" t="s">
        <v>128</v>
      </c>
      <c r="C24" s="4"/>
      <c r="D24" s="4"/>
    </row>
    <row r="25" spans="1:4" x14ac:dyDescent="0.3">
      <c r="A25" s="8">
        <v>21</v>
      </c>
      <c r="B25" s="3" t="s">
        <v>166</v>
      </c>
      <c r="C25" s="3">
        <v>0</v>
      </c>
      <c r="D25" s="3">
        <v>0</v>
      </c>
    </row>
    <row r="26" spans="1:4" x14ac:dyDescent="0.3">
      <c r="A26" s="8">
        <v>22</v>
      </c>
      <c r="B26" s="3" t="s">
        <v>167</v>
      </c>
      <c r="C26" s="3">
        <v>0</v>
      </c>
      <c r="D26" s="3">
        <v>0</v>
      </c>
    </row>
    <row r="27" spans="1:4" x14ac:dyDescent="0.3">
      <c r="A27" s="8">
        <v>23</v>
      </c>
      <c r="B27" s="3" t="s">
        <v>168</v>
      </c>
      <c r="C27" s="3">
        <v>0</v>
      </c>
      <c r="D27" s="3">
        <v>0</v>
      </c>
    </row>
    <row r="28" spans="1:4" x14ac:dyDescent="0.3">
      <c r="A28" s="8">
        <v>24</v>
      </c>
      <c r="B28" s="3" t="s">
        <v>169</v>
      </c>
      <c r="C28" s="3">
        <v>0</v>
      </c>
      <c r="D28" s="3">
        <v>0</v>
      </c>
    </row>
    <row r="29" spans="1:4" x14ac:dyDescent="0.3">
      <c r="A29" s="8">
        <v>25</v>
      </c>
      <c r="B29" s="3" t="s">
        <v>170</v>
      </c>
      <c r="C29" s="3">
        <v>0</v>
      </c>
      <c r="D29" s="3">
        <v>0</v>
      </c>
    </row>
    <row r="30" spans="1:4" x14ac:dyDescent="0.3">
      <c r="A30" s="8">
        <v>26</v>
      </c>
      <c r="B30" s="3" t="s">
        <v>171</v>
      </c>
      <c r="C30" s="3">
        <v>0</v>
      </c>
      <c r="D30" s="3">
        <v>0</v>
      </c>
    </row>
    <row r="31" spans="1:4" x14ac:dyDescent="0.3">
      <c r="A31" s="8">
        <v>27</v>
      </c>
      <c r="B31" s="3" t="s">
        <v>172</v>
      </c>
      <c r="C31" s="3">
        <v>0</v>
      </c>
      <c r="D31" s="3">
        <v>0</v>
      </c>
    </row>
    <row r="32" spans="1:4" x14ac:dyDescent="0.3">
      <c r="A32" s="11">
        <v>30</v>
      </c>
      <c r="B32" s="4" t="s">
        <v>173</v>
      </c>
      <c r="C32" s="4">
        <f>C25+C26+C27+C28+C29+C30+C31</f>
        <v>0</v>
      </c>
      <c r="D32" s="4">
        <f>D25+D26+D27+D28+D29+D30+D31</f>
        <v>0</v>
      </c>
    </row>
    <row r="33" spans="1:4" x14ac:dyDescent="0.3">
      <c r="A33" s="11">
        <v>300</v>
      </c>
      <c r="B33" s="4" t="s">
        <v>137</v>
      </c>
      <c r="C33" s="4"/>
      <c r="D33" s="4"/>
    </row>
    <row r="34" spans="1:4" x14ac:dyDescent="0.3">
      <c r="A34" s="8">
        <v>31</v>
      </c>
      <c r="B34" s="3" t="s">
        <v>174</v>
      </c>
      <c r="C34" s="3">
        <v>0</v>
      </c>
      <c r="D34" s="3">
        <v>0</v>
      </c>
    </row>
    <row r="35" spans="1:4" x14ac:dyDescent="0.3">
      <c r="A35" s="8">
        <v>32</v>
      </c>
      <c r="B35" s="3" t="s">
        <v>175</v>
      </c>
      <c r="C35" s="3">
        <v>0</v>
      </c>
      <c r="D35" s="3">
        <v>0</v>
      </c>
    </row>
    <row r="36" spans="1:4" x14ac:dyDescent="0.3">
      <c r="A36" s="8">
        <v>33</v>
      </c>
      <c r="B36" s="3" t="s">
        <v>176</v>
      </c>
      <c r="C36" s="3">
        <v>0</v>
      </c>
      <c r="D36" s="3">
        <v>0</v>
      </c>
    </row>
    <row r="37" spans="1:4" x14ac:dyDescent="0.3">
      <c r="A37" s="8">
        <v>34</v>
      </c>
      <c r="B37" s="3" t="s">
        <v>177</v>
      </c>
      <c r="C37" s="3">
        <v>0</v>
      </c>
      <c r="D37" s="3">
        <v>0</v>
      </c>
    </row>
    <row r="38" spans="1:4" x14ac:dyDescent="0.3">
      <c r="A38" s="8">
        <v>35</v>
      </c>
      <c r="B38" s="3" t="s">
        <v>178</v>
      </c>
      <c r="C38" s="3">
        <v>0</v>
      </c>
      <c r="D38" s="3">
        <v>0</v>
      </c>
    </row>
    <row r="39" spans="1:4" x14ac:dyDescent="0.3">
      <c r="A39" s="8">
        <v>36</v>
      </c>
      <c r="B39" s="3" t="s">
        <v>143</v>
      </c>
      <c r="C39" s="3">
        <v>0</v>
      </c>
      <c r="D39" s="3">
        <v>0</v>
      </c>
    </row>
    <row r="40" spans="1:4" x14ac:dyDescent="0.3">
      <c r="A40" s="11">
        <v>40</v>
      </c>
      <c r="B40" s="4" t="s">
        <v>179</v>
      </c>
      <c r="C40" s="4">
        <f>C34+C35+C36+C37+C38+C39</f>
        <v>0</v>
      </c>
      <c r="D40" s="4">
        <f>D34+D35+D36+D37+D38+D39</f>
        <v>0</v>
      </c>
    </row>
    <row r="41" spans="1:4" x14ac:dyDescent="0.3">
      <c r="A41" s="11">
        <v>50</v>
      </c>
      <c r="B41" s="4" t="s">
        <v>180</v>
      </c>
      <c r="C41" s="4">
        <f>C23+C32+C40</f>
        <v>0</v>
      </c>
      <c r="D41" s="4">
        <f>D23+D32+D40</f>
        <v>0</v>
      </c>
    </row>
    <row r="42" spans="1:4" x14ac:dyDescent="0.3">
      <c r="A42" s="8">
        <v>60</v>
      </c>
      <c r="B42" s="3" t="s">
        <v>146</v>
      </c>
      <c r="C42" s="3">
        <v>0</v>
      </c>
      <c r="D42" s="3">
        <v>0</v>
      </c>
    </row>
    <row r="43" spans="1:4" x14ac:dyDescent="0.3">
      <c r="A43" s="8">
        <v>61</v>
      </c>
      <c r="B43" s="3" t="s">
        <v>147</v>
      </c>
      <c r="C43" s="3">
        <v>0</v>
      </c>
      <c r="D43" s="3">
        <v>0</v>
      </c>
    </row>
    <row r="44" spans="1:4" x14ac:dyDescent="0.3">
      <c r="A44" s="11">
        <v>70</v>
      </c>
      <c r="B44" s="4" t="s">
        <v>181</v>
      </c>
      <c r="C44" s="4">
        <f>C41+C42+C43</f>
        <v>0</v>
      </c>
      <c r="D44" s="4">
        <f>D41+D42+D43</f>
        <v>0</v>
      </c>
    </row>
  </sheetData>
  <mergeCells count="4">
    <mergeCell ref="B1:D1"/>
    <mergeCell ref="B2:D2"/>
    <mergeCell ref="B3:D3"/>
    <mergeCell ref="B4:D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 DOI KE TOAN</vt:lpstr>
      <vt:lpstr>KET QUA KD</vt:lpstr>
      <vt:lpstr>LCTTE(TT)</vt:lpstr>
      <vt:lpstr>LCTT(GT)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hangxinh</dc:creator>
  <cp:lastModifiedBy>BAOANH</cp:lastModifiedBy>
  <dcterms:created xsi:type="dcterms:W3CDTF">2015-07-11T04:20:12Z</dcterms:created>
  <dcterms:modified xsi:type="dcterms:W3CDTF">2017-04-14T06:42:14Z</dcterms:modified>
</cp:coreProperties>
</file>